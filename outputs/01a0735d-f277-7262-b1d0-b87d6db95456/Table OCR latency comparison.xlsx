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320ba5f892394c54" /></Relationships>
</file>

<file path=xl/workbook.xml><?xml version="1.0" encoding="utf-8"?>
<x:workbook xmlns:x="http://schemas.openxmlformats.org/spreadsheetml/2006/main">
  <x:sheets>
    <x:sheet xmlns:r="http://schemas.openxmlformats.org/officeDocument/2006/relationships" name="Latency comparison" sheetId="1" r:id="Rbc9fb4a729854d39"/>
    <x:sheet xmlns:r="http://schemas.openxmlformats.org/officeDocument/2006/relationships" name="vLLM data" sheetId="2" r:id="R28e4ab6dde504911"/>
    <x:sheet xmlns:r="http://schemas.openxmlformats.org/officeDocument/2006/relationships" name="Sources and notes" sheetId="3" r:id="R123ea1b4b2744ba7"/>
  </x:sheets>
</x: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3">
    <x:numFmt numFmtId="200" formatCode="0.###"/>
    <x:numFmt numFmtId="201" formatCode="0.000000"/>
    <x:numFmt numFmtId="202" formatCode="0.00&quot;×&quot;"/>
  </x:numFmts>
  <x:fonts count="10">
    <x:font>
      <x:sz val="11"/>
      <x:name val="Carlito"/>
    </x:font>
    <x:font>
      <x:sz val="11"/>
      <x:color rgb="FF20231F"/>
      <x:name val="Arial"/>
    </x:font>
    <x:font>
      <x:b/>
      <x:sz val="11"/>
      <x:color rgb="FF697265"/>
      <x:name val="Arial"/>
    </x:font>
    <x:font>
      <x:sz val="10"/>
      <x:color rgb="FF697265"/>
      <x:name val="Arial"/>
    </x:font>
    <x:font>
      <x:sz val="11"/>
      <x:name val="Arial"/>
    </x:font>
    <x:font>
      <x:b/>
      <x:sz val="11"/>
      <x:name val="Arial"/>
    </x:font>
    <x:font>
      <x:b/>
      <x:sz val="18"/>
      <x:color rgb="FF20231F"/>
      <x:name val="Arial"/>
    </x:font>
    <x:font>
      <x:b/>
      <x:sz val="11"/>
      <x:color rgb="FF20231F"/>
      <x:name val="Arial"/>
    </x:font>
    <x:font>
      <x:sz val="10"/>
      <x:color rgb="FF64705F"/>
      <x:name val="Arial"/>
    </x:font>
    <x:font>
      <x:sz val="11"/>
      <x:color rgb="FF64705F"/>
      <x:name val="Arial"/>
    </x:font>
  </x:fonts>
  <x:fills count="9">
    <x:fill>
      <x:patternFill patternType="none"/>
    </x:fill>
    <x:fill>
      <x:patternFill patternType="gray125"/>
    </x:fill>
    <x:fill>
      <x:patternFill patternType="solid">
        <x:fgColor rgb="FFD9E2D2"/>
      </x:patternFill>
    </x:fill>
    <x:fill>
      <x:patternFill patternType="solid">
        <x:fgColor rgb="FFE8B13E"/>
      </x:patternFill>
    </x:fill>
    <x:fill>
      <x:patternFill patternType="solid">
        <x:fgColor rgb="FFFFF2CC"/>
      </x:patternFill>
    </x:fill>
    <x:fill>
      <x:patternFill patternType="solid">
        <x:fgColor rgb="FF92C96F"/>
      </x:patternFill>
    </x:fill>
    <x:fill>
      <x:patternFill patternType="solid">
        <x:fgColor rgb="FFE2EFDA"/>
      </x:patternFill>
    </x:fill>
    <x:fill>
      <x:patternFill patternType="solid">
        <x:fgColor rgb="FFE2EFDA"/>
      </x:patternFill>
    </x:fill>
    <x:fill>
      <x:patternFill patternType="solid">
        <x:fgColor rgb="FFE2EFDA"/>
      </x:patternFill>
    </x:fill>
  </x:fills>
  <x:borders count="11">
    <x:border/>
    <x:border>
      <x:left style="thin">
        <x:color rgb="FF61615B"/>
      </x:left>
      <x:right style="thin">
        <x:color rgb="FF61615B"/>
      </x:right>
      <x:top style="thin">
        <x:color rgb="FF61615B"/>
      </x:top>
      <x:bottom style="thin">
        <x:color rgb="FF61615B"/>
      </x:bottom>
    </x:border>
    <x:border>
      <x:left style="thin">
        <x:color rgb="FF61615B"/>
      </x:left>
      <x:top style="thin">
        <x:color rgb="FF61615B"/>
      </x:top>
      <x:bottom style="thin">
        <x:color rgb="FF61615B"/>
      </x:bottom>
    </x:border>
    <x:border>
      <x:top style="thin">
        <x:color rgb="FF61615B"/>
      </x:top>
      <x:bottom style="thin">
        <x:color rgb="FF61615B"/>
      </x:bottom>
    </x:border>
    <x:border>
      <x:right style="thin">
        <x:color rgb="FF61615B"/>
      </x:right>
      <x:top style="thin">
        <x:color rgb="FF61615B"/>
      </x:top>
      <x:bottom style="thin">
        <x:color rgb="FF61615B"/>
      </x:bottom>
    </x:border>
    <x:border>
      <x:right style="thin">
        <x:color rgb="FFD9DFD4"/>
      </x:right>
      <x:bottom style="thin">
        <x:color rgb="FFD9DFD4"/>
      </x:bottom>
    </x:border>
    <x:border>
      <x:left style="thin">
        <x:color rgb="FFD9DFD4"/>
      </x:left>
      <x:bottom style="thin">
        <x:color rgb="FFD9DFD4"/>
      </x:bottom>
    </x:border>
    <x:border>
      <x:right style="thin">
        <x:color rgb="FFD9DFD4"/>
      </x:right>
      <x:top style="thin">
        <x:color rgb="FFD9DFD4"/>
      </x:top>
      <x:bottom style="thin">
        <x:color rgb="FFD9DFD4"/>
      </x:bottom>
    </x:border>
    <x:border>
      <x:left style="thin">
        <x:color rgb="FFD9DFD4"/>
      </x:left>
      <x:top style="thin">
        <x:color rgb="FFD9DFD4"/>
      </x:top>
      <x:bottom style="thin">
        <x:color rgb="FFD9DFD4"/>
      </x:bottom>
    </x:border>
    <x:border>
      <x:right style="thin">
        <x:color rgb="FFD9DFD4"/>
      </x:right>
      <x:top style="thin">
        <x:color rgb="FFD9DFD4"/>
      </x:top>
    </x:border>
    <x:border>
      <x:left style="thin">
        <x:color rgb="FFD9DFD4"/>
      </x:left>
      <x:top style="thin">
        <x:color rgb="FFD9DFD4"/>
      </x:top>
    </x:border>
  </x:borders>
  <x:cellStyleXfs count="1">
    <x:xf numFmtId="0" fontId="0" fillId="0" borderId="0"/>
  </x:cellStyleXfs>
  <x:cellXfs count="75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2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4" fillId="0" borderId="0" xfId="0" applyNumberFormat="1" applyFont="1" applyFill="1" applyBorder="1"/>
    <x:xf numFmtId="0" fontId="4" fillId="0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5" fillId="2" borderId="0" xfId="0" applyNumberFormat="1" applyFont="1" applyFill="1" applyBorder="1" applyAlignment="1">
      <x:alignment vertical="center"/>
    </x:xf>
    <x:xf numFmtId="0" fontId="5" fillId="2" borderId="1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6" fillId="3" borderId="0" xfId="0" applyNumberFormat="1" applyFont="1" applyFill="1" applyBorder="1" applyAlignment="1">
      <x:alignment vertical="center"/>
    </x:xf>
    <x:xf numFmtId="0" fontId="6" fillId="3" borderId="2" xfId="0" applyNumberFormat="1" applyFont="1" applyFill="1" applyBorder="1" applyAlignment="1">
      <x:alignment vertical="center"/>
    </x:xf>
    <x:xf numFmtId="0" fontId="6" fillId="3" borderId="3" xfId="0" applyNumberFormat="1" applyFont="1" applyFill="1" applyBorder="1" applyAlignment="1">
      <x:alignment vertical="center"/>
    </x:xf>
    <x:xf numFmtId="0" fontId="6" fillId="3" borderId="4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1" fillId="4" borderId="1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 applyAlignment="1">
      <x:alignment vertical="center"/>
    </x:xf>
    <x:xf numFmtId="0" fontId="7" fillId="4" borderId="1" xfId="0" applyNumberFormat="1" applyFont="1" applyFill="1" applyBorder="1" applyAlignment="1">
      <x:alignment horizontal="right" vertical="center"/>
    </x:xf>
    <x:xf numFmtId="0" fontId="1" fillId="4" borderId="1" xfId="0" applyNumberFormat="1" applyFont="1" applyFill="1" applyBorder="1" applyAlignment="1">
      <x:alignment horizontal="right" vertical="center"/>
    </x:xf>
    <x:xf numFmtId="200" fontId="1" fillId="4" borderId="1" xfId="0" applyNumberFormat="1" applyFont="1" applyFill="1" applyBorder="1" applyAlignment="1">
      <x:alignment horizontal="right" vertical="center"/>
    </x:xf>
    <x:xf numFmtId="200" fontId="7" fillId="4" borderId="1" xfId="0" applyNumberFormat="1" applyFont="1" applyFill="1" applyBorder="1" applyAlignment="1">
      <x:alignment horizontal="right" vertical="center"/>
    </x:xf>
    <x:xf numFmtId="0" fontId="4" fillId="4" borderId="0" xfId="0" applyNumberFormat="1" applyFont="1" applyFill="1" applyBorder="1" applyAlignment="1">
      <x:alignment vertical="center"/>
    </x:xf>
    <x:xf numFmtId="0" fontId="4" fillId="4" borderId="1" xfId="0" applyNumberFormat="1" applyFont="1" applyFill="1" applyBorder="1" applyAlignment="1">
      <x:alignment vertical="center"/>
    </x:xf>
    <x:xf numFmtId="201" fontId="4" fillId="4" borderId="1" xfId="0" applyNumberFormat="1" applyFont="1" applyFill="1" applyBorder="1" applyAlignment="1">
      <x:alignment vertical="center"/>
    </x:xf>
    <x:xf numFmtId="202" fontId="1" fillId="4" borderId="1" xfId="0" applyNumberFormat="1" applyFont="1" applyFill="1" applyBorder="1" applyAlignment="1">
      <x:alignment vertical="center"/>
    </x:xf>
    <x:xf numFmtId="202" fontId="7" fillId="4" borderId="1" xfId="0" applyNumberFormat="1" applyFont="1" applyFill="1" applyBorder="1" applyAlignment="1">
      <x:alignment vertical="center"/>
    </x:xf>
    <x:xf numFmtId="202" fontId="7" fillId="4" borderId="1" xfId="0" applyNumberFormat="1" applyFont="1" applyFill="1" applyBorder="1" applyAlignment="1">
      <x:alignment horizontal="right" vertical="center"/>
    </x:xf>
    <x:xf numFmtId="0" fontId="8" fillId="0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0" fontId="1" fillId="5" borderId="0" xfId="0" applyNumberFormat="1" applyFont="1" applyFill="1" applyBorder="1" applyAlignment="1">
      <x:alignment vertical="center"/>
    </x:xf>
    <x:xf numFmtId="0" fontId="6" fillId="5" borderId="0" xfId="0" applyNumberFormat="1" applyFont="1" applyFill="1" applyBorder="1" applyAlignment="1">
      <x:alignment vertical="center"/>
    </x:xf>
    <x:xf numFmtId="0" fontId="6" fillId="5" borderId="2" xfId="0" applyNumberFormat="1" applyFont="1" applyFill="1" applyBorder="1" applyAlignment="1">
      <x:alignment vertical="center"/>
    </x:xf>
    <x:xf numFmtId="0" fontId="6" fillId="5" borderId="3" xfId="0" applyNumberFormat="1" applyFont="1" applyFill="1" applyBorder="1" applyAlignment="1">
      <x:alignment vertical="center"/>
    </x:xf>
    <x:xf numFmtId="0" fontId="6" fillId="5" borderId="4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1" fillId="6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vertical="center"/>
    </x:xf>
    <x:xf numFmtId="0" fontId="7" fillId="6" borderId="1" xfId="0" applyNumberFormat="1" applyFont="1" applyFill="1" applyBorder="1" applyAlignment="1">
      <x:alignment horizontal="right" vertical="center"/>
    </x:xf>
    <x:xf numFmtId="0" fontId="1" fillId="6" borderId="1" xfId="0" applyNumberFormat="1" applyFont="1" applyFill="1" applyBorder="1" applyAlignment="1">
      <x:alignment horizontal="right" vertical="center"/>
    </x:xf>
    <x:xf numFmtId="200" fontId="1" fillId="6" borderId="1" xfId="0" applyNumberFormat="1" applyFont="1" applyFill="1" applyBorder="1" applyAlignment="1">
      <x:alignment horizontal="right" vertical="center"/>
    </x:xf>
    <x:xf numFmtId="200" fontId="7" fillId="6" borderId="1" xfId="0" applyNumberFormat="1" applyFont="1" applyFill="1" applyBorder="1" applyAlignment="1">
      <x:alignment horizontal="right" vertical="center"/>
    </x:xf>
    <x:xf numFmtId="0" fontId="4" fillId="6" borderId="0" xfId="0" applyNumberFormat="1" applyFont="1" applyFill="1" applyBorder="1" applyAlignment="1">
      <x:alignment vertical="center"/>
    </x:xf>
    <x:xf numFmtId="0" fontId="4" fillId="6" borderId="1" xfId="0" applyNumberFormat="1" applyFont="1" applyFill="1" applyBorder="1" applyAlignment="1">
      <x:alignment vertical="center"/>
    </x:xf>
    <x:xf numFmtId="201" fontId="4" fillId="6" borderId="1" xfId="0" applyNumberFormat="1" applyFont="1" applyFill="1" applyBorder="1" applyAlignment="1">
      <x:alignment vertical="center"/>
    </x:xf>
    <x:xf numFmtId="202" fontId="1" fillId="6" borderId="1" xfId="0" applyNumberFormat="1" applyFont="1" applyFill="1" applyBorder="1" applyAlignment="1">
      <x:alignment vertical="center"/>
    </x:xf>
    <x:xf numFmtId="202" fontId="7" fillId="6" borderId="1" xfId="0" applyNumberFormat="1" applyFont="1" applyFill="1" applyBorder="1" applyAlignment="1">
      <x:alignment vertical="center"/>
    </x:xf>
    <x:xf numFmtId="202" fontId="7" fillId="6" borderId="1" xfId="0" applyNumberFormat="1" applyFont="1" applyFill="1" applyBorder="1" applyAlignment="1">
      <x:alignment horizontal="right" vertical="center"/>
    </x:xf>
    <x:xf numFmtId="0" fontId="9" fillId="0" borderId="0" xfId="0" applyNumberFormat="1" applyFont="1" applyFill="1" applyBorder="1" applyAlignment="1">
      <x:alignment vertical="center"/>
    </x:xf>
    <x:xf numFmtId="0" fontId="9" fillId="0" borderId="0" xfId="0" applyNumberFormat="1" applyFont="1" applyFill="1" applyBorder="1" applyAlignment="1">
      <x:alignment vertical="center" wrapText="1"/>
    </x:xf>
    <x:xf numFmtId="0" fontId="4" fillId="0" borderId="0" xfId="0" applyNumberFormat="1" applyFont="1" applyFill="1" applyBorder="1" applyAlignment="1">
      <x:alignment wrapText="1"/>
    </x:xf>
    <x:xf numFmtId="0" fontId="4" fillId="0" borderId="0" xfId="0" applyNumberFormat="1" applyFont="1" applyFill="1" applyBorder="1" applyAlignment="1">
      <x:alignment vertical="center" wrapText="1"/>
    </x:xf>
    <x:xf numFmtId="0" fontId="4" fillId="5" borderId="0" xfId="0" applyNumberFormat="1" applyFont="1" applyFill="1" applyBorder="1" applyAlignment="1">
      <x:alignment vertical="center" wrapText="1"/>
    </x:xf>
    <x:xf numFmtId="0" fontId="5" fillId="5" borderId="0" xfId="0" applyNumberFormat="1" applyFont="1" applyFill="1" applyBorder="1" applyAlignment="1">
      <x:alignment vertical="center" wrapText="1"/>
    </x:xf>
    <x:xf numFmtId="0" fontId="5" fillId="0" borderId="0" xfId="0" applyNumberFormat="1" applyFont="1" applyFill="1" applyBorder="1" applyAlignment="1">
      <x:alignment vertical="center" wrapText="1"/>
    </x:xf>
    <x:xf numFmtId="0" fontId="5" fillId="0" borderId="5" xfId="0" applyNumberFormat="1" applyFont="1" applyFill="1" applyBorder="1" applyAlignment="1">
      <x:alignment vertical="center" wrapText="1"/>
    </x:xf>
    <x:xf numFmtId="0" fontId="4" fillId="0" borderId="6" xfId="0" applyNumberFormat="1" applyFont="1" applyFill="1" applyBorder="1" applyAlignment="1">
      <x:alignment vertical="center" wrapText="1"/>
    </x:xf>
    <x:xf numFmtId="0" fontId="5" fillId="0" borderId="7" xfId="0" applyNumberFormat="1" applyFont="1" applyFill="1" applyBorder="1" applyAlignment="1">
      <x:alignment vertical="center" wrapText="1"/>
    </x:xf>
    <x:xf numFmtId="0" fontId="4" fillId="0" borderId="8" xfId="0" applyNumberFormat="1" applyFont="1" applyFill="1" applyBorder="1" applyAlignment="1">
      <x:alignment vertical="center" wrapText="1"/>
    </x:xf>
    <x:xf numFmtId="0" fontId="5" fillId="0" borderId="9" xfId="0" applyNumberFormat="1" applyFont="1" applyFill="1" applyBorder="1" applyAlignment="1">
      <x:alignment vertical="center" wrapText="1"/>
    </x:xf>
    <x:xf numFmtId="0" fontId="4" fillId="0" borderId="10" xfId="0" applyNumberFormat="1" applyFont="1" applyFill="1" applyBorder="1" applyAlignment="1">
      <x:alignment vertical="center" wrapText="1"/>
    </x:xf>
    <x:xf numFmtId="0" fontId="8" fillId="0" borderId="0" xfId="0" applyNumberFormat="1" applyFont="1" applyFill="1" applyBorder="1"/>
    <x:xf numFmtId="0" fontId="8" fillId="0" borderId="0" xfId="0" applyNumberFormat="1" applyFont="1" applyFill="1" applyBorder="1" applyAlignment="1">
      <x:alignment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1" xfId="0" applyNumberFormat="1" applyFont="1" applyFill="1" applyBorder="1"/>
    <x:xf numFmtId="0" fontId="1" fillId="7" borderId="1" xfId="0" applyNumberFormat="1" applyFont="1" applyFill="1" applyBorder="1" applyAlignment="1">
      <x:alignment vertical="center"/>
    </x:xf>
    <x:xf numFmtId="200" fontId="1" fillId="7" borderId="1" xfId="0" applyNumberFormat="1" applyFont="1" applyFill="1" applyBorder="1" applyAlignment="1">
      <x:alignment vertical="center"/>
    </x:xf>
    <x:xf numFmtId="200" fontId="1" fillId="7" borderId="1" xfId="0" applyNumberFormat="1" applyFont="1" applyFill="1" applyBorder="1" applyAlignment="1">
      <x:alignment horizontal="right" vertical="center"/>
    </x:xf>
    <x:xf numFmtId="200" fontId="7" fillId="7" borderId="1" xfId="0" applyNumberFormat="1" applyFont="1" applyFill="1" applyBorder="1" applyAlignment="1">
      <x:alignment horizontal="right" vertical="center"/>
    </x:xf>
    <x:xf numFmtId="0" fontId="1" fillId="8" borderId="0" xfId="0" applyNumberFormat="1" applyFont="1" applyFill="1" applyBorder="1" applyAlignment="1">
      <x:alignment vertical="center"/>
    </x:xf>
    <x:xf numFmtId="0" fontId="1" fillId="8" borderId="1" xfId="0" applyNumberFormat="1" applyFont="1" applyFill="1" applyBorder="1" applyAlignment="1">
      <x:alignment vertical="center"/>
    </x:xf>
    <x:xf numFmtId="200" fontId="1" fillId="8" borderId="1" xfId="0" applyNumberFormat="1" applyFont="1" applyFill="1" applyBorder="1" applyAlignment="1">
      <x:alignment vertical="center"/>
    </x:xf>
    <x:xf numFmtId="200" fontId="1" fillId="8" borderId="1" xfId="0" applyNumberFormat="1" applyFont="1" applyFill="1" applyBorder="1" applyAlignment="1">
      <x:alignment horizontal="right" vertical="center"/>
    </x:xf>
    <x:xf numFmtId="200" fontId="7" fillId="8" borderId="1" xfId="0" applyNumberFormat="1" applyFont="1" applyFill="1" applyBorder="1" applyAlignment="1">
      <x:alignment horizontal="right" vertical="center"/>
    </x:xf>
  </x:cellXfs>
  <x:cellStyles count="1">
    <x:cellStyle name="Normal" xfId="0"/>
  </x:cellStyles>
  <x:dxfs count="20"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  <x:dxf>
      <x:font>
        <x:color rgb="FF27643B"/>
      </x:font>
    </x:dxf>
    <x:dxf>
      <x:font>
        <x:color rgb="FFA33B30"/>
      </x:font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660acac0986a439f" /><Relationship Type="http://schemas.openxmlformats.org/officeDocument/2006/relationships/theme" Target="/xl/theme/theme1.xml" Id="Rcc829d6742e94ad5" /><Relationship Type="http://schemas.openxmlformats.org/officeDocument/2006/relationships/sharedStrings" Target="/xl/sharedStrings.xml" Id="Rf1db8cf40ce34c1e" /><Relationship Type="http://schemas.openxmlformats.org/officeDocument/2006/relationships/worksheet" Target="/xl/worksheets/sheet1.xml" Id="Rbc9fb4a729854d39" /><Relationship Type="http://schemas.openxmlformats.org/officeDocument/2006/relationships/worksheet" Target="/xl/worksheets/sheet2.xml" Id="R28e4ab6dde504911" /><Relationship Type="http://schemas.openxmlformats.org/officeDocument/2006/relationships/worksheet" Target="/xl/worksheets/sheet3.xml" Id="R123ea1b4b2744ba7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.440000057220459" hidden="0" customWidth="1"/>
    <x:col min="2" max="2" width="2.440000057220459" hidden="0" customWidth="1"/>
    <x:col min="3" max="3" width="22.780000686645508" hidden="0" customWidth="1"/>
    <x:col min="4" max="4" width="11.670000076293945" hidden="0" customWidth="1"/>
    <x:col min="5" max="5" width="11.670000076293945" hidden="0" customWidth="1"/>
    <x:col min="6" max="6" width="11.670000076293945" hidden="0" customWidth="1"/>
    <x:col min="7" max="7" width="11.670000076293945" hidden="0" customWidth="1"/>
    <x:col min="8" max="8" width="11.670000076293945" hidden="0" customWidth="1"/>
    <x:col min="9" max="9" width="11.670000076293945" hidden="0" customWidth="1"/>
    <x:col min="10" max="10" width="11.670000076293945" hidden="0" customWidth="1"/>
    <x:col min="11" max="11" width="4.440000057220459" hidden="0" customWidth="1"/>
    <x:col min="12" max="12" width="9.4399995803833" hidden="0" customWidth="1"/>
    <x:col min="13" max="13" width="8" hidden="0" customWidth="1"/>
    <x:col min="14" max="14" width="8" hidden="0" customWidth="1"/>
    <x:col min="15" max="15" width="8" hidden="0" customWidth="1"/>
    <x:col min="16" max="16" width="4.440000057220459" hidden="0" customWidth="1"/>
    <x:col min="17" max="17" width="4.440000057220459" hidden="0" customWidth="1"/>
    <x:col min="18" max="18" width="22.780000686645508" hidden="0" customWidth="1"/>
    <x:col min="19" max="19" width="11.670000076293945" hidden="0" customWidth="1"/>
    <x:col min="20" max="20" width="11.670000076293945" hidden="0" customWidth="1"/>
    <x:col min="21" max="21" width="11.670000076293945" hidden="0" customWidth="1"/>
    <x:col min="22" max="22" width="11.670000076293945" hidden="0" customWidth="1"/>
    <x:col min="23" max="23" width="11.670000076293945" hidden="0" customWidth="1"/>
    <x:col min="24" max="24" width="11.670000076293945" hidden="0" customWidth="1"/>
    <x:col min="25" max="25" width="11.670000076293945" hidden="0" customWidth="1"/>
    <x:col min="26" max="26" width="2.440000057220459" hidden="0" customWidth="1"/>
  </x:cols>
  <x:sheetData>
    <x:row r="1" ht="11.25" customHeight="1">
      <x:c r="A1" s="2"/>
      <x:c r="B1" s="2"/>
      <x:c r="C1" s="2"/>
      <x:c r="D1" s="2"/>
      <x:c r="E1" s="2"/>
      <x:c r="F1" s="2"/>
      <x:c r="G1" s="2"/>
      <x:c r="H1" s="2"/>
      <x:c r="I1" s="2"/>
      <x:c r="J1" s="2"/>
      <x:c r="K1" s="2"/>
      <x:c r="L1" s="2"/>
      <x:c r="M1" s="2"/>
      <x:c r="N1" s="2"/>
      <x:c r="O1" s="2"/>
      <x:c r="P1" s="2"/>
      <x:c r="Q1" s="2"/>
      <x:c r="R1" s="2"/>
      <x:c r="S1" s="2"/>
      <x:c r="T1" s="2"/>
      <x:c r="U1" s="2"/>
      <x:c r="V1" s="2"/>
      <x:c r="W1" s="2"/>
      <x:c r="X1" s="2"/>
      <x:c r="Y1" s="2"/>
      <x:c r="Z1" s="2"/>
    </x:row>
    <x:row r="2" ht="11.25" customHeight="1">
      <x:c r="A2" s="2"/>
      <x:c r="B2" s="2"/>
      <x:c r="C2" s="2"/>
      <x:c r="D2" s="2"/>
      <x:c r="E2" s="2"/>
      <x:c r="F2" s="2"/>
      <x:c r="G2" s="2"/>
      <x:c r="H2" s="2"/>
      <x:c r="I2" s="2"/>
      <x:c r="J2" s="2"/>
      <x:c r="K2" s="2"/>
      <x:c r="L2" s="2"/>
      <x:c r="M2" s="2"/>
      <x:c r="N2" s="2"/>
      <x:c r="O2" s="2"/>
      <x:c r="P2" s="2"/>
      <x:c r="Q2" s="2"/>
      <x:c r="R2" s="2"/>
      <x:c r="S2" s="2"/>
      <x:c r="T2" s="2"/>
      <x:c r="U2" s="2"/>
      <x:c r="V2" s="2"/>
      <x:c r="W2" s="2"/>
      <x:c r="X2" s="2"/>
      <x:c r="Y2" s="2"/>
      <x:c r="Z2" s="2"/>
    </x:row>
    <x:row r="3" ht="23.25" customHeight="1">
      <x:c r="A3" s="2"/>
      <x:c r="B3" s="2"/>
      <x:c r="C3" s="3" t="str">
        <x:v>Custom PaddleOCR-VL</x:v>
      </x:c>
      <x:c r="D3" s="3" t="str">
        <x:v>Custom PaddleOCR-VL</x:v>
      </x:c>
      <x:c r="E3" s="3" t="str">
        <x:v>Custom PaddleOCR-VL</x:v>
      </x:c>
      <x:c r="F3" s="3" t="str">
        <x:v>Custom PaddleOCR-VL</x:v>
      </x:c>
      <x:c r="G3" s="3" t="str">
        <x:v>Custom PaddleOCR-VL</x:v>
      </x:c>
      <x:c r="H3" s="3" t="str">
        <x:v>Custom PaddleOCR-VL</x:v>
      </x:c>
      <x:c r="I3" s="3" t="str">
        <x:v>Custom PaddleOCR-VL</x:v>
      </x:c>
      <x:c r="J3" s="3" t="str">
        <x:v>Custom PaddleOCR-VL</x:v>
      </x:c>
      <x:c r="K3" s="2"/>
      <x:c r="L3" s="4" t="str">
        <x:v>Ratios above 1× favor custom</x:v>
      </x:c>
      <x:c r="M3" s="4" t="str">
        <x:v>Ratios above 1× favor custom</x:v>
      </x:c>
      <x:c r="N3" s="4" t="str">
        <x:v>Ratios above 1× favor custom</x:v>
      </x:c>
      <x:c r="O3" s="4" t="str">
        <x:v>Ratios above 1× favor custom</x:v>
      </x:c>
      <x:c r="P3" s="2"/>
      <x:c r="Q3" s="2"/>
      <x:c r="R3" s="3" t="str">
        <x:v>vLLM-Ascend 0.23.0rc1 · FULL_AND_PIECEWISE</x:v>
      </x:c>
      <x:c r="S3" s="3" t="str">
        <x:v>vLLM-Ascend 0.23.0rc1 · FULL_AND_PIECEWISE</x:v>
      </x:c>
      <x:c r="T3" s="3" t="str">
        <x:v>vLLM-Ascend 0.23.0rc1 · FULL_AND_PIECEWISE</x:v>
      </x:c>
      <x:c r="U3" s="3" t="str">
        <x:v>vLLM-Ascend 0.23.0rc1 · FULL_AND_PIECEWISE</x:v>
      </x:c>
      <x:c r="V3" s="3" t="str">
        <x:v>vLLM-Ascend 0.23.0rc1 · FULL_AND_PIECEWISE</x:v>
      </x:c>
      <x:c r="W3" s="3" t="str">
        <x:v>vLLM-Ascend 0.23.0rc1 · FULL_AND_PIECEWISE</x:v>
      </x:c>
      <x:c r="X3" s="3" t="str">
        <x:v>vLLM-Ascend 0.23.0rc1 · FULL_AND_PIECEWISE</x:v>
      </x:c>
      <x:c r="Y3" s="3" t="str">
        <x:v>vLLM-Ascend 0.23.0rc1 · FULL_AND_PIECEWISE</x:v>
      </x:c>
      <x:c r="Z3" s="2"/>
    </x:row>
    <x:row r="4" ht="26.25" customHeight="1">
      <x:c r="A4" s="2"/>
      <x:c r="B4" s="2"/>
      <x:c r="C4" s="12" t="str">
        <x:v>Custom: &gt;P90 tables</x:v>
      </x:c>
      <x:c r="D4" s="13" t="str">
        <x:v>Custom: &gt;P90 tables</x:v>
      </x:c>
      <x:c r="E4" s="14" t="str">
        <x:v>Custom: &gt;P90 tables</x:v>
      </x:c>
      <x:c r="F4" s="2"/>
      <x:c r="G4" s="2"/>
      <x:c r="H4" s="2"/>
      <x:c r="I4" s="2"/>
      <x:c r="J4" s="2"/>
      <x:c r="K4" s="2"/>
      <x:c r="L4" s="12" t="str">
        <x:v>Speedup</x:v>
      </x:c>
      <x:c r="M4" s="13" t="str">
        <x:v>Speedup</x:v>
      </x:c>
      <x:c r="N4" s="13" t="str">
        <x:v>Speedup</x:v>
      </x:c>
      <x:c r="O4" s="14" t="str">
        <x:v>Speedup</x:v>
      </x:c>
      <x:c r="P4" s="2"/>
      <x:c r="Q4" s="2"/>
      <x:c r="R4" s="12" t="str">
        <x:v>vLLM: &gt;P90 tables</x:v>
      </x:c>
      <x:c r="S4" s="13" t="str">
        <x:v>vLLM: &gt;P90 tables</x:v>
      </x:c>
      <x:c r="T4" s="14" t="str">
        <x:v>vLLM: &gt;P90 tables</x:v>
      </x:c>
      <x:c r="U4" s="2"/>
      <x:c r="V4" s="2"/>
      <x:c r="W4" s="2"/>
      <x:c r="X4" s="2"/>
      <x:c r="Y4" s="2"/>
      <x:c r="Z4" s="2"/>
    </x:row>
    <x:row r="5" ht="24.75" customHeight="1">
      <x:c r="A5" s="2"/>
      <x:c r="B5" s="2"/>
      <x:c r="C5" s="17" t="str">
        <x:v>Concurrency/Latency</x:v>
      </x:c>
      <x:c r="D5" s="18" t="str">
        <x:v>Mean(s)</x:v>
      </x:c>
      <x:c r="E5" s="18" t="str">
        <x:v>P50(s)</x:v>
      </x:c>
      <x:c r="F5" s="18" t="str">
        <x:v>P90(s)</x:v>
      </x:c>
      <x:c r="G5" s="18" t="str">
        <x:v>P95(s)</x:v>
      </x:c>
      <x:c r="H5" s="18" t="str">
        <x:v>P99(s)</x:v>
      </x:c>
      <x:c r="I5" s="18" t="str">
        <x:v>Max(s)</x:v>
      </x:c>
      <x:c r="J5" s="18" t="str">
        <x:v>QPS</x:v>
      </x:c>
      <x:c r="K5" s="2"/>
      <x:c r="L5" s="17" t="str">
        <x:v>B / C</x:v>
      </x:c>
      <x:c r="M5" s="17" t="str">
        <x:v>Mean</x:v>
      </x:c>
      <x:c r="N5" s="17" t="str">
        <x:v>P95</x:v>
      </x:c>
      <x:c r="O5" s="17" t="str">
        <x:v>QPS</x:v>
      </x:c>
      <x:c r="P5" s="2"/>
      <x:c r="Q5" s="2"/>
      <x:c r="R5" s="17" t="str">
        <x:v>Concurrency/Latency</x:v>
      </x:c>
      <x:c r="S5" s="18" t="str">
        <x:v>Mean(s)</x:v>
      </x:c>
      <x:c r="T5" s="18" t="str">
        <x:v>P50(s)</x:v>
      </x:c>
      <x:c r="U5" s="18" t="str">
        <x:v>P90(s)</x:v>
      </x:c>
      <x:c r="V5" s="18" t="str">
        <x:v>P95(s)</x:v>
      </x:c>
      <x:c r="W5" s="18" t="str">
        <x:v>P99(s)</x:v>
      </x:c>
      <x:c r="X5" s="18" t="str">
        <x:v>Max(s)</x:v>
      </x:c>
      <x:c r="Y5" s="18" t="str">
        <x:v>QPS</x:v>
      </x:c>
      <x:c r="Z5" s="2"/>
    </x:row>
    <x:row r="6" ht="24.75" customHeight="1">
      <x:c r="A6" s="2"/>
      <x:c r="B6" s="2"/>
      <x:c r="C6" s="16" t="str">
        <x:v>B=1</x:v>
      </x:c>
      <x:c r="D6" s="20" t="n">
        <x:v>2.456</x:v>
      </x:c>
      <x:c r="E6" s="20" t="n">
        <x:v>2.201</x:v>
      </x:c>
      <x:c r="F6" s="20" t="n">
        <x:v>3.641</x:v>
      </x:c>
      <x:c r="G6" s="21" t="n">
        <x:v>3.65</x:v>
      </x:c>
      <x:c r="H6" s="20" t="n">
        <x:v>3.693</x:v>
      </x:c>
      <x:c r="I6" s="20" t="n">
        <x:v>3.695</x:v>
      </x:c>
      <x:c r="J6" s="21" t="n">
        <x:v>0.407</x:v>
      </x:c>
      <x:c r="K6" s="2"/>
      <x:c r="L6" s="16" t="n">
        <x:v>1</x:v>
      </x:c>
      <x:c r="M6" s="27" t="n">
        <x:f>S6/D6</x:f>
        <x:v>6.56799674267101</x:v>
      </x:c>
      <x:c r="N6" s="27" t="n">
        <x:f>V6/G6</x:f>
        <x:v>6.928493150684932</x:v>
      </x:c>
      <x:c r="O6" s="27" t="n">
        <x:f>J6/Y6</x:f>
        <x:v>6.564516129032258</x:v>
      </x:c>
      <x:c r="P6" s="2"/>
      <x:c r="Q6" s="2"/>
      <x:c r="R6" s="16" t="str">
        <x:v>B=1</x:v>
      </x:c>
      <x:c r="S6" s="20" t="n">
        <x:f>ROUND('vLLM data'!E2,3)</x:f>
        <x:v>16.131</x:v>
      </x:c>
      <x:c r="T6" s="20" t="n">
        <x:f>ROUND('vLLM data'!F2,3)</x:f>
        <x:v>14.128</x:v>
      </x:c>
      <x:c r="U6" s="20" t="n">
        <x:f>ROUND('vLLM data'!G2,3)</x:f>
        <x:v>24.657</x:v>
      </x:c>
      <x:c r="V6" s="21" t="n">
        <x:f>ROUND('vLLM data'!H2,3)</x:f>
        <x:v>25.289</x:v>
      </x:c>
      <x:c r="W6" s="20" t="n">
        <x:f>ROUND('vLLM data'!I2,3)</x:f>
        <x:v>25.653</x:v>
      </x:c>
      <x:c r="X6" s="20" t="n">
        <x:f>ROUND('vLLM data'!J2,3)</x:f>
        <x:v>25.756</x:v>
      </x:c>
      <x:c r="Y6" s="21" t="n">
        <x:f>ROUND('vLLM data'!K2,3)</x:f>
        <x:v>0.062</x:v>
      </x:c>
      <x:c r="Z6" s="2"/>
    </x:row>
    <x:row r="7" ht="24.75" customHeight="1">
      <x:c r="A7" s="2"/>
      <x:c r="B7" s="2"/>
      <x:c r="C7" s="16" t="str">
        <x:v>B=2</x:v>
      </x:c>
      <x:c r="D7" s="20" t="n">
        <x:v>2.882</x:v>
      </x:c>
      <x:c r="E7" s="20" t="n">
        <x:v>2.491</x:v>
      </x:c>
      <x:c r="F7" s="20" t="n">
        <x:v>4.368</x:v>
      </x:c>
      <x:c r="G7" s="21" t="n">
        <x:v>4.426</x:v>
      </x:c>
      <x:c r="H7" s="20" t="n">
        <x:v>4.862</x:v>
      </x:c>
      <x:c r="I7" s="20" t="n">
        <x:v>5.101</x:v>
      </x:c>
      <x:c r="J7" s="21" t="n">
        <x:v>0.685</x:v>
      </x:c>
      <x:c r="K7" s="2"/>
      <x:c r="L7" s="16" t="n">
        <x:v>2</x:v>
      </x:c>
      <x:c r="M7" s="27" t="n">
        <x:f>S7/D7</x:f>
        <x:v>5.96530187369882</x:v>
      </x:c>
      <x:c r="N7" s="27" t="n">
        <x:f>V7/G7</x:f>
        <x:v>6.141436963398101</x:v>
      </x:c>
      <x:c r="O7" s="27" t="n">
        <x:f>J7/Y7</x:f>
        <x:v>5.956521739130435</x:v>
      </x:c>
      <x:c r="P7" s="2"/>
      <x:c r="Q7" s="2"/>
      <x:c r="R7" s="16" t="str">
        <x:v>B=2</x:v>
      </x:c>
      <x:c r="S7" s="20" t="n">
        <x:f>ROUND('vLLM data'!E3,3)</x:f>
        <x:v>17.192</x:v>
      </x:c>
      <x:c r="T7" s="20" t="n">
        <x:f>ROUND('vLLM data'!F3,3)</x:f>
        <x:v>15.197</x:v>
      </x:c>
      <x:c r="U7" s="20" t="n">
        <x:f>ROUND('vLLM data'!G3,3)</x:f>
        <x:v>26.256</x:v>
      </x:c>
      <x:c r="V7" s="21" t="n">
        <x:f>ROUND('vLLM data'!H3,3)</x:f>
        <x:v>27.182</x:v>
      </x:c>
      <x:c r="W7" s="20" t="n">
        <x:f>ROUND('vLLM data'!I3,3)</x:f>
        <x:v>28.314</x:v>
      </x:c>
      <x:c r="X7" s="20" t="n">
        <x:f>ROUND('vLLM data'!J3,3)</x:f>
        <x:v>28.396</x:v>
      </x:c>
      <x:c r="Y7" s="21" t="n">
        <x:f>ROUND('vLLM data'!K3,3)</x:f>
        <x:v>0.115</x:v>
      </x:c>
      <x:c r="Z7" s="2"/>
    </x:row>
    <x:row r="8" ht="24.75" customHeight="1">
      <x:c r="A8" s="2"/>
      <x:c r="B8" s="2"/>
      <x:c r="C8" s="16" t="str">
        <x:v>B=4</x:v>
      </x:c>
      <x:c r="D8" s="20" t="n">
        <x:v>3.467</x:v>
      </x:c>
      <x:c r="E8" s="20" t="n">
        <x:v>3.023</x:v>
      </x:c>
      <x:c r="F8" s="20" t="n">
        <x:v>5.102</x:v>
      </x:c>
      <x:c r="G8" s="21" t="n">
        <x:v>5.353</x:v>
      </x:c>
      <x:c r="H8" s="20" t="n">
        <x:v>6.145</x:v>
      </x:c>
      <x:c r="I8" s="20" t="n">
        <x:v>6.242</x:v>
      </x:c>
      <x:c r="J8" s="21" t="n">
        <x:v>1.085</x:v>
      </x:c>
      <x:c r="K8" s="2"/>
      <x:c r="L8" s="16" t="n">
        <x:v>4</x:v>
      </x:c>
      <x:c r="M8" s="27" t="n">
        <x:f>S8/D8</x:f>
        <x:v>5.483415056244591</x:v>
      </x:c>
      <x:c r="N8" s="27" t="n">
        <x:f>V8/G8</x:f>
        <x:v>5.497851671959649</x:v>
      </x:c>
      <x:c r="O8" s="27" t="n">
        <x:f>J8/Y8</x:f>
        <x:v>5.507614213197969</x:v>
      </x:c>
      <x:c r="P8" s="2"/>
      <x:c r="Q8" s="2"/>
      <x:c r="R8" s="16" t="str">
        <x:v>B=4</x:v>
      </x:c>
      <x:c r="S8" s="20" t="n">
        <x:f>ROUND('vLLM data'!E4,3)</x:f>
        <x:v>19.011</x:v>
      </x:c>
      <x:c r="T8" s="20" t="n">
        <x:f>ROUND('vLLM data'!F4,3)</x:f>
        <x:v>15.921</x:v>
      </x:c>
      <x:c r="U8" s="20" t="n">
        <x:f>ROUND('vLLM data'!G4,3)</x:f>
        <x:v>29.33</x:v>
      </x:c>
      <x:c r="V8" s="21" t="n">
        <x:f>ROUND('vLLM data'!H4,3)</x:f>
        <x:v>29.43</x:v>
      </x:c>
      <x:c r="W8" s="20" t="n">
        <x:f>ROUND('vLLM data'!I4,3)</x:f>
        <x:v>30.108</x:v>
      </x:c>
      <x:c r="X8" s="20" t="n">
        <x:f>ROUND('vLLM data'!J4,3)</x:f>
        <x:v>30.203</x:v>
      </x:c>
      <x:c r="Y8" s="21" t="n">
        <x:f>ROUND('vLLM data'!K4,3)</x:f>
        <x:v>0.197</x:v>
      </x:c>
      <x:c r="Z8" s="2"/>
    </x:row>
    <x:row r="9" ht="24.75" customHeight="1">
      <x:c r="A9" s="2"/>
      <x:c r="B9" s="2"/>
      <x:c r="C9" s="16" t="str">
        <x:v>B=8</x:v>
      </x:c>
      <x:c r="D9" s="20" t="n">
        <x:v>5.184</x:v>
      </x:c>
      <x:c r="E9" s="20" t="n">
        <x:v>4.763</x:v>
      </x:c>
      <x:c r="F9" s="20" t="n">
        <x:v>8.162</x:v>
      </x:c>
      <x:c r="G9" s="21" t="n">
        <x:v>8.345</x:v>
      </x:c>
      <x:c r="H9" s="20" t="n">
        <x:v>8.79</x:v>
      </x:c>
      <x:c r="I9" s="20" t="n">
        <x:v>8.922</x:v>
      </x:c>
      <x:c r="J9" s="21" t="n">
        <x:v>1.433</x:v>
      </x:c>
      <x:c r="K9" s="2"/>
      <x:c r="L9" s="16" t="n">
        <x:v>8</x:v>
      </x:c>
      <x:c r="M9" s="27" t="n">
        <x:f>S9/D9</x:f>
        <x:v>3.458912037037037</x:v>
      </x:c>
      <x:c r="N9" s="27" t="n">
        <x:f>V9/G9</x:f>
        <x:v>3.3541042540443375</x:v>
      </x:c>
      <x:c r="O9" s="27" t="n">
        <x:f>J9/Y9</x:f>
        <x:v>3.555831265508685</x:v>
      </x:c>
      <x:c r="P9" s="2"/>
      <x:c r="Q9" s="2"/>
      <x:c r="R9" s="16" t="str">
        <x:v>B=8</x:v>
      </x:c>
      <x:c r="S9" s="20" t="n">
        <x:f>ROUND('vLLM data'!E5,3)</x:f>
        <x:v>17.931</x:v>
      </x:c>
      <x:c r="T9" s="20" t="n">
        <x:f>ROUND('vLLM data'!F5,3)</x:f>
        <x:v>14.752</x:v>
      </x:c>
      <x:c r="U9" s="20" t="n">
        <x:f>ROUND('vLLM data'!G5,3)</x:f>
        <x:v>27.474</x:v>
      </x:c>
      <x:c r="V9" s="21" t="n">
        <x:f>ROUND('vLLM data'!H5,3)</x:f>
        <x:v>27.99</x:v>
      </x:c>
      <x:c r="W9" s="20" t="n">
        <x:f>ROUND('vLLM data'!I5,3)</x:f>
        <x:v>28.846</x:v>
      </x:c>
      <x:c r="X9" s="20" t="n">
        <x:f>ROUND('vLLM data'!J5,3)</x:f>
        <x:v>28.871</x:v>
      </x:c>
      <x:c r="Y9" s="21" t="n">
        <x:f>ROUND('vLLM data'!K5,3)</x:f>
        <x:v>0.403</x:v>
      </x:c>
      <x:c r="Z9" s="2"/>
    </x:row>
    <x:row r="10" ht="24.75" customHeight="1">
      <x:c r="A10" s="2"/>
      <x:c r="B10" s="2"/>
      <x:c r="C10" s="16" t="str">
        <x:v>B=16</x:v>
      </x:c>
      <x:c r="D10" s="20" t="n">
        <x:v>7.511</x:v>
      </x:c>
      <x:c r="E10" s="20" t="n">
        <x:v>6.945</x:v>
      </x:c>
      <x:c r="F10" s="20" t="n">
        <x:v>11.157</x:v>
      </x:c>
      <x:c r="G10" s="21" t="n">
        <x:v>12.811</x:v>
      </x:c>
      <x:c r="H10" s="20" t="n">
        <x:v>14.011</x:v>
      </x:c>
      <x:c r="I10" s="20" t="n">
        <x:v>14.14</x:v>
      </x:c>
      <x:c r="J10" s="21" t="n">
        <x:v>1.873</x:v>
      </x:c>
      <x:c r="K10" s="2"/>
      <x:c r="L10" s="16" t="n">
        <x:v>16</x:v>
      </x:c>
      <x:c r="M10" s="27" t="n">
        <x:f>S10/D10</x:f>
        <x:v>2.695513247237385</x:v>
      </x:c>
      <x:c r="N10" s="27" t="n">
        <x:f>V10/G10</x:f>
        <x:v>2.4756069003200376</x:v>
      </x:c>
      <x:c r="O10" s="27" t="n">
        <x:f>J10/Y10</x:f>
        <x:v>2.8465045592705165</x:v>
      </x:c>
      <x:c r="P10" s="2"/>
      <x:c r="Q10" s="2"/>
      <x:c r="R10" s="16" t="str">
        <x:v>B=16</x:v>
      </x:c>
      <x:c r="S10" s="20" t="n">
        <x:f>ROUND('vLLM data'!E6,3)</x:f>
        <x:v>20.246</x:v>
      </x:c>
      <x:c r="T10" s="20" t="n">
        <x:f>ROUND('vLLM data'!F6,3)</x:f>
        <x:v>17.208</x:v>
      </x:c>
      <x:c r="U10" s="20" t="n">
        <x:f>ROUND('vLLM data'!G6,3)</x:f>
        <x:v>30.498</x:v>
      </x:c>
      <x:c r="V10" s="21" t="n">
        <x:f>ROUND('vLLM data'!H6,3)</x:f>
        <x:v>31.715</x:v>
      </x:c>
      <x:c r="W10" s="20" t="n">
        <x:f>ROUND('vLLM data'!I6,3)</x:f>
        <x:v>32.975</x:v>
      </x:c>
      <x:c r="X10" s="20" t="n">
        <x:f>ROUND('vLLM data'!J6,3)</x:f>
        <x:v>33.021</x:v>
      </x:c>
      <x:c r="Y10" s="21" t="n">
        <x:f>ROUND('vLLM data'!K6,3)</x:f>
        <x:v>0.658</x:v>
      </x:c>
      <x:c r="Z10" s="2"/>
    </x:row>
    <x:row r="11" ht="23.25" customHeight="1">
      <x:c r="A11" s="2"/>
      <x:c r="B11" s="2"/>
      <x:c r="C11" s="2"/>
      <x:c r="D11" s="2"/>
      <x:c r="E11" s="2"/>
      <x:c r="F11" s="2"/>
      <x:c r="G11" s="2"/>
      <x:c r="H11" s="2"/>
      <x:c r="I11" s="2"/>
      <x:c r="J11" s="2"/>
      <x:c r="K11" s="2"/>
      <x:c r="L11" s="2"/>
      <x:c r="M11" s="2"/>
      <x:c r="N11" s="2"/>
      <x:c r="O11" s="2"/>
      <x:c r="P11" s="2"/>
      <x:c r="Q11" s="2"/>
      <x:c r="R11" s="2"/>
      <x:c r="S11" s="2"/>
      <x:c r="T11" s="2"/>
      <x:c r="U11" s="2"/>
      <x:c r="V11" s="2"/>
      <x:c r="W11" s="2"/>
      <x:c r="X11" s="2"/>
      <x:c r="Y11" s="2"/>
      <x:c r="Z11" s="2"/>
    </x:row>
    <x:row r="12" ht="23.25" customHeight="1">
      <x:c r="A12" s="2"/>
      <x:c r="B12" s="2"/>
      <x:c r="C12" s="28" t="str">
        <x:v>50 hardest tables, shuffled in the same order.</x:v>
      </x:c>
      <x:c r="D12" s="28" t="str">
        <x:v>50 hardest tables, shuffled in the same order.</x:v>
      </x:c>
      <x:c r="E12" s="28" t="str">
        <x:v>50 hardest tables, shuffled in the same order.</x:v>
      </x:c>
      <x:c r="F12" s="28" t="str">
        <x:v>50 hardest tables, shuffled in the same order.</x:v>
      </x:c>
      <x:c r="G12" s="28" t="str">
        <x:v>50 hardest tables, shuffled in the same order.</x:v>
      </x:c>
      <x:c r="H12" s="28" t="str">
        <x:v>50 hardest tables, shuffled in the same order.</x:v>
      </x:c>
      <x:c r="I12" s="28" t="str">
        <x:v>50 hardest tables, shuffled in the same order.</x:v>
      </x:c>
      <x:c r="J12" s="28" t="str">
        <x:v>50 hardest tables, shuffled in the same order.</x:v>
      </x:c>
      <x:c r="K12" s="2"/>
      <x:c r="L12" s="29" t="str">
        <x:v>Latency = vLLM ÷ custom
QPS = custom ÷ vLLM</x:v>
      </x:c>
      <x:c r="M12" s="29" t="str">
        <x:v>Latency = vLLM ÷ custom
QPS = custom ÷ vLLM</x:v>
      </x:c>
      <x:c r="N12" s="29" t="str">
        <x:v>Latency = vLLM ÷ custom
QPS = custom ÷ vLLM</x:v>
      </x:c>
      <x:c r="O12" s="29" t="str">
        <x:v>Latency = vLLM ÷ custom
QPS = custom ÷ vLLM</x:v>
      </x:c>
      <x:c r="P12" s="2"/>
      <x:c r="Q12" s="2"/>
      <x:c r="R12" s="28" t="str">
        <x:v>C = maximum requests in flight; vLLM batches dynamically.</x:v>
      </x:c>
      <x:c r="S12" s="28" t="str">
        <x:v>C = maximum requests in flight; vLLM batches dynamically.</x:v>
      </x:c>
      <x:c r="T12" s="28" t="str">
        <x:v>C = maximum requests in flight; vLLM batches dynamically.</x:v>
      </x:c>
      <x:c r="U12" s="28" t="str">
        <x:v>C = maximum requests in flight; vLLM batches dynamically.</x:v>
      </x:c>
      <x:c r="V12" s="28" t="str">
        <x:v>C = maximum requests in flight; vLLM batches dynamically.</x:v>
      </x:c>
      <x:c r="W12" s="28" t="str">
        <x:v>C = maximum requests in flight; vLLM batches dynamically.</x:v>
      </x:c>
      <x:c r="X12" s="28" t="str">
        <x:v>C = maximum requests in flight; vLLM batches dynamically.</x:v>
      </x:c>
      <x:c r="Y12" s="28" t="str">
        <x:v>C = maximum requests in flight; vLLM batches dynamically.</x:v>
      </x:c>
      <x:c r="Z12" s="2"/>
    </x:row>
    <x:row r="13" ht="23.25" customHeight="1">
      <x:c r="A13" s="2"/>
      <x:c r="B13" s="2"/>
      <x:c r="C13" s="2"/>
      <x:c r="D13" s="2"/>
      <x:c r="E13" s="2"/>
      <x:c r="F13" s="2"/>
      <x:c r="G13" s="2"/>
      <x:c r="H13" s="2"/>
      <x:c r="I13" s="2"/>
      <x:c r="J13" s="2"/>
      <x:c r="K13" s="2"/>
      <x:c r="L13" s="29" t="str">
        <x:v>Latency = vLLM ÷ custom
QPS = custom ÷ vLLM</x:v>
      </x:c>
      <x:c r="M13" s="29" t="str">
        <x:v>Latency = vLLM ÷ custom
QPS = custom ÷ vLLM</x:v>
      </x:c>
      <x:c r="N13" s="29" t="str">
        <x:v>Latency = vLLM ÷ custom
QPS = custom ÷ vLLM</x:v>
      </x:c>
      <x:c r="O13" s="29" t="str">
        <x:v>Latency = vLLM ÷ custom
QPS = custom ÷ vLLM</x:v>
      </x:c>
      <x:c r="P13" s="2"/>
      <x:c r="Q13" s="2"/>
      <x:c r="R13" s="2"/>
      <x:c r="S13" s="2"/>
      <x:c r="T13" s="2"/>
      <x:c r="U13" s="2"/>
      <x:c r="V13" s="2"/>
      <x:c r="W13" s="2"/>
      <x:c r="X13" s="2"/>
      <x:c r="Y13" s="2"/>
      <x:c r="Z13" s="2"/>
    </x:row>
    <x:row r="14" ht="23.25" customHeight="1">
      <x:c r="A14" s="2"/>
      <x:c r="B14" s="2"/>
      <x:c r="C14" s="2"/>
      <x:c r="D14" s="2"/>
      <x:c r="E14" s="2"/>
      <x:c r="F14" s="2"/>
      <x:c r="G14" s="2"/>
      <x:c r="H14" s="2"/>
      <x:c r="I14" s="2"/>
      <x:c r="J14" s="2"/>
      <x:c r="K14" s="2"/>
      <x:c r="L14" s="2"/>
      <x:c r="M14" s="2"/>
      <x:c r="N14" s="2"/>
      <x:c r="O14" s="2"/>
      <x:c r="P14" s="2"/>
      <x:c r="Q14" s="2"/>
      <x:c r="R14" s="2"/>
      <x:c r="S14" s="2"/>
      <x:c r="T14" s="2"/>
      <x:c r="U14" s="2"/>
      <x:c r="V14" s="2"/>
      <x:c r="W14" s="2"/>
      <x:c r="X14" s="2"/>
      <x:c r="Y14" s="2"/>
      <x:c r="Z14" s="2"/>
    </x:row>
    <x:row r="15" ht="26.25" customHeight="1">
      <x:c r="A15" s="2"/>
      <x:c r="B15" s="2"/>
      <x:c r="C15" s="32" t="str">
        <x:v>Custom: All tables</x:v>
      </x:c>
      <x:c r="D15" s="33" t="str">
        <x:v>Custom: All tables</x:v>
      </x:c>
      <x:c r="E15" s="34" t="str">
        <x:v>Custom: All tables</x:v>
      </x:c>
      <x:c r="F15" s="2"/>
      <x:c r="G15" s="2"/>
      <x:c r="H15" s="2"/>
      <x:c r="I15" s="2"/>
      <x:c r="J15" s="2"/>
      <x:c r="K15" s="2"/>
      <x:c r="L15" s="32" t="str">
        <x:v>Speedup</x:v>
      </x:c>
      <x:c r="M15" s="33" t="str">
        <x:v>Speedup</x:v>
      </x:c>
      <x:c r="N15" s="33" t="str">
        <x:v>Speedup</x:v>
      </x:c>
      <x:c r="O15" s="34" t="str">
        <x:v>Speedup</x:v>
      </x:c>
      <x:c r="P15" s="2"/>
      <x:c r="Q15" s="2"/>
      <x:c r="R15" s="32" t="str">
        <x:v>vLLM: All tables</x:v>
      </x:c>
      <x:c r="S15" s="33" t="str">
        <x:v>vLLM: All tables</x:v>
      </x:c>
      <x:c r="T15" s="34" t="str">
        <x:v>vLLM: All tables</x:v>
      </x:c>
      <x:c r="U15" s="2"/>
      <x:c r="V15" s="2"/>
      <x:c r="W15" s="2"/>
      <x:c r="X15" s="2"/>
      <x:c r="Y15" s="2"/>
      <x:c r="Z15" s="2"/>
    </x:row>
    <x:row r="16" ht="24.75" customHeight="1">
      <x:c r="A16" s="2"/>
      <x:c r="B16" s="2"/>
      <x:c r="C16" s="37" t="str">
        <x:v>Concurrency/Latency</x:v>
      </x:c>
      <x:c r="D16" s="38" t="str">
        <x:v>Mean(s)</x:v>
      </x:c>
      <x:c r="E16" s="38" t="str">
        <x:v>P50(s)</x:v>
      </x:c>
      <x:c r="F16" s="38" t="str">
        <x:v>P90(s)</x:v>
      </x:c>
      <x:c r="G16" s="38" t="str">
        <x:v>P95(s)</x:v>
      </x:c>
      <x:c r="H16" s="38" t="str">
        <x:v>P99(s)</x:v>
      </x:c>
      <x:c r="I16" s="38" t="str">
        <x:v>Max(s)</x:v>
      </x:c>
      <x:c r="J16" s="38" t="str">
        <x:v>QPS</x:v>
      </x:c>
      <x:c r="K16" s="2"/>
      <x:c r="L16" s="37" t="str">
        <x:v>B / C</x:v>
      </x:c>
      <x:c r="M16" s="37" t="str">
        <x:v>Mean</x:v>
      </x:c>
      <x:c r="N16" s="37" t="str">
        <x:v>P95</x:v>
      </x:c>
      <x:c r="O16" s="37" t="str">
        <x:v>QPS</x:v>
      </x:c>
      <x:c r="P16" s="2"/>
      <x:c r="Q16" s="2"/>
      <x:c r="R16" s="37" t="str">
        <x:v>Concurrency/Latency</x:v>
      </x:c>
      <x:c r="S16" s="38" t="str">
        <x:v>Mean(s)</x:v>
      </x:c>
      <x:c r="T16" s="38" t="str">
        <x:v>P50(s)</x:v>
      </x:c>
      <x:c r="U16" s="38" t="str">
        <x:v>P90(s)</x:v>
      </x:c>
      <x:c r="V16" s="38" t="str">
        <x:v>P95(s)</x:v>
      </x:c>
      <x:c r="W16" s="38" t="str">
        <x:v>P99(s)</x:v>
      </x:c>
      <x:c r="X16" s="38" t="str">
        <x:v>Max(s)</x:v>
      </x:c>
      <x:c r="Y16" s="38" t="str">
        <x:v>QPS</x:v>
      </x:c>
      <x:c r="Z16" s="2"/>
    </x:row>
    <x:row r="17" ht="24.75" customHeight="1">
      <x:c r="A17" s="2"/>
      <x:c r="B17" s="2"/>
      <x:c r="C17" s="36" t="str">
        <x:v>B=1</x:v>
      </x:c>
      <x:c r="D17" s="40" t="n">
        <x:v>0.635</x:v>
      </x:c>
      <x:c r="E17" s="40" t="n">
        <x:v>0.446</x:v>
      </x:c>
      <x:c r="F17" s="40" t="n">
        <x:v>1.214</x:v>
      </x:c>
      <x:c r="G17" s="41" t="n">
        <x:v>1.722</x:v>
      </x:c>
      <x:c r="H17" s="40" t="n">
        <x:v>3.45</x:v>
      </x:c>
      <x:c r="I17" s="40" t="n">
        <x:v>3.681</x:v>
      </x:c>
      <x:c r="J17" s="41" t="n">
        <x:v>1.574</x:v>
      </x:c>
      <x:c r="K17" s="2"/>
      <x:c r="L17" s="36" t="n">
        <x:v>1</x:v>
      </x:c>
      <x:c r="M17" s="47" t="n">
        <x:f>S17/D17</x:f>
        <x:v>5.340157480314961</x:v>
      </x:c>
      <x:c r="N17" s="47" t="n">
        <x:f>V17/G17</x:f>
        <x:v>6.152729384436702</x:v>
      </x:c>
      <x:c r="O17" s="47" t="n">
        <x:f>J17/Y17</x:f>
        <x:v>5.335593220338984</x:v>
      </x:c>
      <x:c r="P17" s="2"/>
      <x:c r="Q17" s="2"/>
      <x:c r="R17" s="36" t="str">
        <x:v>B=1</x:v>
      </x:c>
      <x:c r="S17" s="40" t="n">
        <x:f>ROUND('vLLM data'!E7,3)</x:f>
        <x:v>3.391</x:v>
      </x:c>
      <x:c r="T17" s="40" t="n">
        <x:f>ROUND('vLLM data'!F7,3)</x:f>
        <x:v>1.949</x:v>
      </x:c>
      <x:c r="U17" s="40" t="n">
        <x:f>ROUND('vLLM data'!G7,3)</x:f>
        <x:v>6.98</x:v>
      </x:c>
      <x:c r="V17" s="41" t="n">
        <x:f>ROUND('vLLM data'!H7,3)</x:f>
        <x:v>10.595</x:v>
      </x:c>
      <x:c r="W17" s="40" t="n">
        <x:f>ROUND('vLLM data'!I7,3)</x:f>
        <x:v>22.409</x:v>
      </x:c>
      <x:c r="X17" s="40" t="n">
        <x:f>ROUND('vLLM data'!J7,3)</x:f>
        <x:v>24.214</x:v>
      </x:c>
      <x:c r="Y17" s="41" t="n">
        <x:f>ROUND('vLLM data'!K7,3)</x:f>
        <x:v>0.295</x:v>
      </x:c>
      <x:c r="Z17" s="2"/>
    </x:row>
    <x:row r="18" ht="24.75" customHeight="1">
      <x:c r="A18" s="2"/>
      <x:c r="B18" s="2"/>
      <x:c r="C18" s="36" t="str">
        <x:v>B=2</x:v>
      </x:c>
      <x:c r="D18" s="40" t="n">
        <x:v>0.793</x:v>
      </x:c>
      <x:c r="E18" s="40" t="n">
        <x:v>0.527</x:v>
      </x:c>
      <x:c r="F18" s="40" t="n">
        <x:v>1.492</x:v>
      </x:c>
      <x:c r="G18" s="41" t="n">
        <x:v>2.151</x:v>
      </x:c>
      <x:c r="H18" s="40" t="n">
        <x:v>4.915</x:v>
      </x:c>
      <x:c r="I18" s="40" t="n">
        <x:v>5.081</x:v>
      </x:c>
      <x:c r="J18" s="41" t="n">
        <x:v>2.483</x:v>
      </x:c>
      <x:c r="K18" s="2"/>
      <x:c r="L18" s="36" t="n">
        <x:v>2</x:v>
      </x:c>
      <x:c r="M18" s="47" t="n">
        <x:f>S18/D18</x:f>
        <x:v>4.6317780580075665</x:v>
      </x:c>
      <x:c r="N18" s="47" t="n">
        <x:f>V18/G18</x:f>
        <x:v>5.3175267317526735</x:v>
      </x:c>
      <x:c r="O18" s="47" t="n">
        <x:f>J18/Y18</x:f>
        <x:v>4.658536585365853</x:v>
      </x:c>
      <x:c r="P18" s="2"/>
      <x:c r="Q18" s="2"/>
      <x:c r="R18" s="36" t="str">
        <x:v>B=2</x:v>
      </x:c>
      <x:c r="S18" s="40" t="n">
        <x:f>ROUND('vLLM data'!E8,3)</x:f>
        <x:v>3.673</x:v>
      </x:c>
      <x:c r="T18" s="40" t="n">
        <x:f>ROUND('vLLM data'!F8,3)</x:f>
        <x:v>2.191</x:v>
      </x:c>
      <x:c r="U18" s="40" t="n">
        <x:f>ROUND('vLLM data'!G8,3)</x:f>
        <x:v>7.368</x:v>
      </x:c>
      <x:c r="V18" s="41" t="n">
        <x:f>ROUND('vLLM data'!H8,3)</x:f>
        <x:v>11.438</x:v>
      </x:c>
      <x:c r="W18" s="40" t="n">
        <x:f>ROUND('vLLM data'!I8,3)</x:f>
        <x:v>23.885</x:v>
      </x:c>
      <x:c r="X18" s="40" t="n">
        <x:f>ROUND('vLLM data'!J8,3)</x:f>
        <x:v>25.928</x:v>
      </x:c>
      <x:c r="Y18" s="41" t="n">
        <x:f>ROUND('vLLM data'!K8,3)</x:f>
        <x:v>0.533</x:v>
      </x:c>
      <x:c r="Z18" s="2"/>
    </x:row>
    <x:row r="19" ht="24.75" customHeight="1">
      <x:c r="A19" s="2"/>
      <x:c r="B19" s="2"/>
      <x:c r="C19" s="36" t="str">
        <x:v>B=4</x:v>
      </x:c>
      <x:c r="D19" s="40" t="n">
        <x:v>1.184</x:v>
      </x:c>
      <x:c r="E19" s="40" t="n">
        <x:v>0.73</x:v>
      </x:c>
      <x:c r="F19" s="40" t="n">
        <x:v>2.553</x:v>
      </x:c>
      <x:c r="G19" s="41" t="n">
        <x:v>3.35</x:v>
      </x:c>
      <x:c r="H19" s="40" t="n">
        <x:v>7.289</x:v>
      </x:c>
      <x:c r="I19" s="40" t="n">
        <x:v>7.785</x:v>
      </x:c>
      <x:c r="J19" s="41" t="n">
        <x:v>3.241</x:v>
      </x:c>
      <x:c r="K19" s="2"/>
      <x:c r="L19" s="36" t="n">
        <x:v>4</x:v>
      </x:c>
      <x:c r="M19" s="47" t="n">
        <x:f>S19/D19</x:f>
        <x:v>3.3564189189189193</x:v>
      </x:c>
      <x:c r="N19" s="47" t="n">
        <x:f>V19/G19</x:f>
        <x:v>4.016417910447761</x:v>
      </x:c>
      <x:c r="O19" s="47" t="n">
        <x:f>J19/Y19</x:f>
        <x:v>3.511375947995666</x:v>
      </x:c>
      <x:c r="P19" s="2"/>
      <x:c r="Q19" s="2"/>
      <x:c r="R19" s="36" t="str">
        <x:v>B=4</x:v>
      </x:c>
      <x:c r="S19" s="40" t="n">
        <x:f>ROUND('vLLM data'!E9,3)</x:f>
        <x:v>3.974</x:v>
      </x:c>
      <x:c r="T19" s="40" t="n">
        <x:f>ROUND('vLLM data'!F9,3)</x:f>
        <x:v>2.225</x:v>
      </x:c>
      <x:c r="U19" s="40" t="n">
        <x:f>ROUND('vLLM data'!G9,3)</x:f>
        <x:v>8.091</x:v>
      </x:c>
      <x:c r="V19" s="41" t="n">
        <x:f>ROUND('vLLM data'!H9,3)</x:f>
        <x:v>13.455</x:v>
      </x:c>
      <x:c r="W19" s="40" t="n">
        <x:f>ROUND('vLLM data'!I9,3)</x:f>
        <x:v>26.443</x:v>
      </x:c>
      <x:c r="X19" s="40" t="n">
        <x:f>ROUND('vLLM data'!J9,3)</x:f>
        <x:v>27.812</x:v>
      </x:c>
      <x:c r="Y19" s="41" t="n">
        <x:f>ROUND('vLLM data'!K9,3)</x:f>
        <x:v>0.923</x:v>
      </x:c>
      <x:c r="Z19" s="2"/>
    </x:row>
    <x:row r="20" ht="24.75" customHeight="1">
      <x:c r="A20" s="2"/>
      <x:c r="B20" s="2"/>
      <x:c r="C20" s="36" t="str">
        <x:v>B=8</x:v>
      </x:c>
      <x:c r="D20" s="40" t="n">
        <x:v>1.857</x:v>
      </x:c>
      <x:c r="E20" s="40" t="n">
        <x:v>1.181</x:v>
      </x:c>
      <x:c r="F20" s="40" t="n">
        <x:v>3.815</x:v>
      </x:c>
      <x:c r="G20" s="41" t="n">
        <x:v>5.181</x:v>
      </x:c>
      <x:c r="H20" s="40" t="n">
        <x:v>12.185</x:v>
      </x:c>
      <x:c r="I20" s="40" t="n">
        <x:v>14.403</x:v>
      </x:c>
      <x:c r="J20" s="41" t="n">
        <x:v>4.003</x:v>
      </x:c>
      <x:c r="K20" s="2"/>
      <x:c r="L20" s="36" t="n">
        <x:v>8</x:v>
      </x:c>
      <x:c r="M20" s="47" t="n">
        <x:f>S20/D20</x:f>
        <x:v>2.4259558427571353</x:v>
      </x:c>
      <x:c r="N20" s="47" t="n">
        <x:f>V20/G20</x:f>
        <x:v>2.5439104419996137</x:v>
      </x:c>
      <x:c r="O20" s="47" t="n">
        <x:f>J20/Y20</x:f>
        <x:v>2.6027308192457737</x:v>
      </x:c>
      <x:c r="P20" s="2"/>
      <x:c r="Q20" s="2"/>
      <x:c r="R20" s="36" t="str">
        <x:v>B=8</x:v>
      </x:c>
      <x:c r="S20" s="40" t="n">
        <x:f>ROUND('vLLM data'!E10,3)</x:f>
        <x:v>4.505</x:v>
      </x:c>
      <x:c r="T20" s="40" t="n">
        <x:f>ROUND('vLLM data'!F10,3)</x:f>
        <x:v>2.631</x:v>
      </x:c>
      <x:c r="U20" s="40" t="n">
        <x:f>ROUND('vLLM data'!G10,3)</x:f>
        <x:v>9.229</x:v>
      </x:c>
      <x:c r="V20" s="41" t="n">
        <x:f>ROUND('vLLM data'!H10,3)</x:f>
        <x:v>13.18</x:v>
      </x:c>
      <x:c r="W20" s="40" t="n">
        <x:f>ROUND('vLLM data'!I10,3)</x:f>
        <x:v>30.305</x:v>
      </x:c>
      <x:c r="X20" s="40" t="n">
        <x:f>ROUND('vLLM data'!J10,3)</x:f>
        <x:v>32.984</x:v>
      </x:c>
      <x:c r="Y20" s="41" t="n">
        <x:f>ROUND('vLLM data'!K10,3)</x:f>
        <x:v>1.538</x:v>
      </x:c>
      <x:c r="Z20" s="2"/>
    </x:row>
    <x:row r="21" ht="24.75" customHeight="1">
      <x:c r="A21" s="2"/>
      <x:c r="B21" s="2"/>
      <x:c r="C21" s="36" t="str">
        <x:v>B=16</x:v>
      </x:c>
      <x:c r="D21" s="40" t="n">
        <x:v>3.168</x:v>
      </x:c>
      <x:c r="E21" s="40" t="n">
        <x:v>2.161</x:v>
      </x:c>
      <x:c r="F21" s="40" t="n">
        <x:v>6.132</x:v>
      </x:c>
      <x:c r="G21" s="41" t="n">
        <x:v>8.284</x:v>
      </x:c>
      <x:c r="H21" s="40" t="n">
        <x:v>15.868</x:v>
      </x:c>
      <x:c r="I21" s="40" t="n">
        <x:v>20.789</x:v>
      </x:c>
      <x:c r="J21" s="41" t="n">
        <x:v>4.513</x:v>
      </x:c>
      <x:c r="K21" s="2"/>
      <x:c r="L21" s="36" t="n">
        <x:v>16</x:v>
      </x:c>
      <x:c r="M21" s="47" t="n">
        <x:f>S21/D21</x:f>
        <x:v>1.6922348484848484</x:v>
      </x:c>
      <x:c r="N21" s="47" t="n">
        <x:f>V21/G21</x:f>
        <x:v>1.7550700144857554</x:v>
      </x:c>
      <x:c r="O21" s="47" t="n">
        <x:f>J21/Y21</x:f>
        <x:v>1.9179770505737355</x:v>
      </x:c>
      <x:c r="P21" s="2"/>
      <x:c r="Q21" s="2"/>
      <x:c r="R21" s="36" t="str">
        <x:v>B=16</x:v>
      </x:c>
      <x:c r="S21" s="40" t="n">
        <x:f>ROUND('vLLM data'!E11,3)</x:f>
        <x:v>5.361</x:v>
      </x:c>
      <x:c r="T21" s="40" t="n">
        <x:f>ROUND('vLLM data'!F11,3)</x:f>
        <x:v>3.198</x:v>
      </x:c>
      <x:c r="U21" s="40" t="n">
        <x:f>ROUND('vLLM data'!G11,3)</x:f>
        <x:v>10.958</x:v>
      </x:c>
      <x:c r="V21" s="41" t="n">
        <x:f>ROUND('vLLM data'!H11,3)</x:f>
        <x:v>14.539</x:v>
      </x:c>
      <x:c r="W21" s="40" t="n">
        <x:f>ROUND('vLLM data'!I11,3)</x:f>
        <x:v>30.509</x:v>
      </x:c>
      <x:c r="X21" s="40" t="n">
        <x:f>ROUND('vLLM data'!J11,3)</x:f>
        <x:v>37.092</x:v>
      </x:c>
      <x:c r="Y21" s="41" t="n">
        <x:f>ROUND('vLLM data'!K11,3)</x:f>
        <x:v>2.353</x:v>
      </x:c>
      <x:c r="Z21" s="2"/>
    </x:row>
    <x:row r="22" ht="23.25" customHeight="1">
      <x:c r="A22" s="2"/>
      <x:c r="B22" s="2"/>
      <x:c r="C22" s="2"/>
      <x:c r="D22" s="2"/>
      <x:c r="E22" s="2"/>
      <x:c r="F22" s="2"/>
      <x:c r="G22" s="2"/>
      <x:c r="H22" s="2"/>
      <x:c r="I22" s="2"/>
      <x:c r="J22" s="2"/>
      <x:c r="K22" s="2"/>
      <x:c r="L22" s="2"/>
      <x:c r="M22" s="2"/>
      <x:c r="N22" s="2"/>
      <x:c r="O22" s="2"/>
      <x:c r="P22" s="2"/>
      <x:c r="Q22" s="2"/>
      <x:c r="R22" s="2"/>
      <x:c r="S22" s="2"/>
      <x:c r="T22" s="2"/>
      <x:c r="U22" s="2"/>
      <x:c r="V22" s="2"/>
      <x:c r="W22" s="2"/>
      <x:c r="X22" s="2"/>
      <x:c r="Y22" s="2"/>
      <x:c r="Z22" s="2"/>
    </x:row>
    <x:row r="23" ht="23.25" customHeight="1">
      <x:c r="A23" s="2"/>
      <x:c r="B23" s="2"/>
      <x:c r="C23" s="28" t="str">
        <x:v>100 tables sampled from the full 665-table corpus.</x:v>
      </x:c>
      <x:c r="D23" s="28" t="str">
        <x:v>100 tables sampled from the full 665-table corpus.</x:v>
      </x:c>
      <x:c r="E23" s="28" t="str">
        <x:v>100 tables sampled from the full 665-table corpus.</x:v>
      </x:c>
      <x:c r="F23" s="28" t="str">
        <x:v>100 tables sampled from the full 665-table corpus.</x:v>
      </x:c>
      <x:c r="G23" s="28" t="str">
        <x:v>100 tables sampled from the full 665-table corpus.</x:v>
      </x:c>
      <x:c r="H23" s="28" t="str">
        <x:v>100 tables sampled from the full 665-table corpus.</x:v>
      </x:c>
      <x:c r="I23" s="28" t="str">
        <x:v>100 tables sampled from the full 665-table corpus.</x:v>
      </x:c>
      <x:c r="J23" s="28" t="str">
        <x:v>100 tables sampled from the full 665-table corpus.</x:v>
      </x:c>
      <x:c r="K23" s="2"/>
      <x:c r="L23" s="29" t="str">
        <x:v>Latency = vLLM ÷ custom
QPS = custom ÷ vLLM</x:v>
      </x:c>
      <x:c r="M23" s="29" t="str">
        <x:v>Latency = vLLM ÷ custom
QPS = custom ÷ vLLM</x:v>
      </x:c>
      <x:c r="N23" s="29" t="str">
        <x:v>Latency = vLLM ÷ custom
QPS = custom ÷ vLLM</x:v>
      </x:c>
      <x:c r="O23" s="29" t="str">
        <x:v>Latency = vLLM ÷ custom
QPS = custom ÷ vLLM</x:v>
      </x:c>
      <x:c r="P23" s="2"/>
      <x:c r="Q23" s="2"/>
      <x:c r="R23" s="28" t="str">
        <x:v>Same 100 tables and dispatch order as custom.</x:v>
      </x:c>
      <x:c r="S23" s="28" t="str">
        <x:v>Same 100 tables and dispatch order as custom.</x:v>
      </x:c>
      <x:c r="T23" s="28" t="str">
        <x:v>Same 100 tables and dispatch order as custom.</x:v>
      </x:c>
      <x:c r="U23" s="28" t="str">
        <x:v>Same 100 tables and dispatch order as custom.</x:v>
      </x:c>
      <x:c r="V23" s="28" t="str">
        <x:v>Same 100 tables and dispatch order as custom.</x:v>
      </x:c>
      <x:c r="W23" s="28" t="str">
        <x:v>Same 100 tables and dispatch order as custom.</x:v>
      </x:c>
      <x:c r="X23" s="28" t="str">
        <x:v>Same 100 tables and dispatch order as custom.</x:v>
      </x:c>
      <x:c r="Y23" s="28" t="str">
        <x:v>Same 100 tables and dispatch order as custom.</x:v>
      </x:c>
      <x:c r="Z23" s="2"/>
    </x:row>
    <x:row r="24" ht="23.25" customHeight="1">
      <x:c r="A24" s="2"/>
      <x:c r="B24" s="2"/>
      <x:c r="C24" s="2"/>
      <x:c r="D24" s="2"/>
      <x:c r="E24" s="2"/>
      <x:c r="F24" s="2"/>
      <x:c r="G24" s="2"/>
      <x:c r="H24" s="2"/>
      <x:c r="I24" s="2"/>
      <x:c r="J24" s="2"/>
      <x:c r="K24" s="2"/>
      <x:c r="L24" s="29" t="str">
        <x:v>Latency = vLLM ÷ custom
QPS = custom ÷ vLLM</x:v>
      </x:c>
      <x:c r="M24" s="29" t="str">
        <x:v>Latency = vLLM ÷ custom
QPS = custom ÷ vLLM</x:v>
      </x:c>
      <x:c r="N24" s="29" t="str">
        <x:v>Latency = vLLM ÷ custom
QPS = custom ÷ vLLM</x:v>
      </x:c>
      <x:c r="O24" s="29" t="str">
        <x:v>Latency = vLLM ÷ custom
QPS = custom ÷ vLLM</x:v>
      </x:c>
      <x:c r="P24" s="2"/>
      <x:c r="Q24" s="2"/>
      <x:c r="R24" s="2"/>
      <x:c r="S24" s="2"/>
      <x:c r="T24" s="2"/>
      <x:c r="U24" s="2"/>
      <x:c r="V24" s="2"/>
      <x:c r="W24" s="2"/>
      <x:c r="X24" s="2"/>
      <x:c r="Y24" s="2"/>
      <x:c r="Z24" s="2"/>
    </x:row>
    <x:row r="25" ht="23.25" customHeight="1">
      <x:c r="A25" s="2"/>
      <x:c r="B25" s="2"/>
      <x:c r="C25" s="28" t="str">
        <x:v>Latency is in seconds. QPS is achieved closed-loop throughput. Ascend 910B2; startup and warmup excluded.</x:v>
      </x:c>
      <x:c r="D25" s="28" t="str">
        <x:v>Latency is in seconds. QPS is achieved closed-loop throughput. Ascend 910B2; startup and warmup excluded.</x:v>
      </x:c>
      <x:c r="E25" s="28" t="str">
        <x:v>Latency is in seconds. QPS is achieved closed-loop throughput. Ascend 910B2; startup and warmup excluded.</x:v>
      </x:c>
      <x:c r="F25" s="28" t="str">
        <x:v>Latency is in seconds. QPS is achieved closed-loop throughput. Ascend 910B2; startup and warmup excluded.</x:v>
      </x:c>
      <x:c r="G25" s="28" t="str">
        <x:v>Latency is in seconds. QPS is achieved closed-loop throughput. Ascend 910B2; startup and warmup excluded.</x:v>
      </x:c>
      <x:c r="H25" s="28" t="str">
        <x:v>Latency is in seconds. QPS is achieved closed-loop throughput. Ascend 910B2; startup and warmup excluded.</x:v>
      </x:c>
      <x:c r="I25" s="28" t="str">
        <x:v>Latency is in seconds. QPS is achieved closed-loop throughput. Ascend 910B2; startup and warmup excluded.</x:v>
      </x:c>
      <x:c r="J25" s="28" t="str">
        <x:v>Latency is in seconds. QPS is achieved closed-loop throughput. Ascend 910B2; startup and warmup excluded.</x:v>
      </x:c>
      <x:c r="K25" s="28" t="str">
        <x:v>Latency is in seconds. QPS is achieved closed-loop throughput. Ascend 910B2; startup and warmup excluded.</x:v>
      </x:c>
      <x:c r="L25" s="28" t="str">
        <x:v>Latency is in seconds. QPS is achieved closed-loop throughput. Ascend 910B2; startup and warmup excluded.</x:v>
      </x:c>
      <x:c r="M25" s="28" t="str">
        <x:v>Latency is in seconds. QPS is achieved closed-loop throughput. Ascend 910B2; startup and warmup excluded.</x:v>
      </x:c>
      <x:c r="N25" s="28" t="str">
        <x:v>Latency is in seconds. QPS is achieved closed-loop throughput. Ascend 910B2; startup and warmup excluded.</x:v>
      </x:c>
      <x:c r="O25" s="28" t="str">
        <x:v>Latency is in seconds. QPS is achieved closed-loop throughput. Ascend 910B2; startup and warmup excluded.</x:v>
      </x:c>
      <x:c r="P25" s="28" t="str">
        <x:v>Latency is in seconds. QPS is achieved closed-loop throughput. Ascend 910B2; startup and warmup excluded.</x:v>
      </x:c>
      <x:c r="Q25" s="28" t="str">
        <x:v>Latency is in seconds. QPS is achieved closed-loop throughput. Ascend 910B2; startup and warmup excluded.</x:v>
      </x:c>
      <x:c r="R25" s="28" t="str">
        <x:v>Latency is in seconds. QPS is achieved closed-loop throughput. Ascend 910B2; startup and warmup excluded.</x:v>
      </x:c>
      <x:c r="S25" s="28" t="str">
        <x:v>Latency is in seconds. QPS is achieved closed-loop throughput. Ascend 910B2; startup and warmup excluded.</x:v>
      </x:c>
      <x:c r="T25" s="28" t="str">
        <x:v>Latency is in seconds. QPS is achieved closed-loop throughput. Ascend 910B2; startup and warmup excluded.</x:v>
      </x:c>
      <x:c r="U25" s="28" t="str">
        <x:v>Latency is in seconds. QPS is achieved closed-loop throughput. Ascend 910B2; startup and warmup excluded.</x:v>
      </x:c>
      <x:c r="V25" s="28" t="str">
        <x:v>Latency is in seconds. QPS is achieved closed-loop throughput. Ascend 910B2; startup and warmup excluded.</x:v>
      </x:c>
      <x:c r="W25" s="28" t="str">
        <x:v>Latency is in seconds. QPS is achieved closed-loop throughput. Ascend 910B2; startup and warmup excluded.</x:v>
      </x:c>
      <x:c r="X25" s="28" t="str">
        <x:v>Latency is in seconds. QPS is achieved closed-loop throughput. Ascend 910B2; startup and warmup excluded.</x:v>
      </x:c>
      <x:c r="Y25" s="28" t="str">
        <x:v>Latency is in seconds. QPS is achieved closed-loop throughput. Ascend 910B2; startup and warmup excluded.</x:v>
      </x:c>
      <x:c r="Z25" s="2"/>
    </x:row>
    <x:row r="26" ht="23.25" customHeight="1">
      <x:c r="A26" s="2"/>
      <x:c r="B26" s="2"/>
      <x:c r="C26" s="2"/>
      <x:c r="D26" s="2"/>
      <x:c r="E26" s="2"/>
      <x:c r="F26" s="2"/>
      <x:c r="G26" s="2"/>
      <x:c r="H26" s="2"/>
      <x:c r="I26" s="2"/>
      <x:c r="J26" s="2"/>
      <x:c r="K26" s="2"/>
      <x:c r="L26" s="2"/>
      <x:c r="M26" s="2"/>
      <x:c r="N26" s="2"/>
      <x:c r="O26" s="2"/>
      <x:c r="P26" s="2"/>
      <x:c r="Q26" s="2"/>
      <x:c r="R26" s="2"/>
      <x:c r="S26" s="2"/>
      <x:c r="T26" s="2"/>
      <x:c r="U26" s="2"/>
      <x:c r="V26" s="2"/>
      <x:c r="W26" s="2"/>
      <x:c r="X26" s="2"/>
      <x:c r="Y26" s="2"/>
      <x:c r="Z26" s="2"/>
    </x:row>
    <x:row r="27" ht="23.25" customHeight="1">
      <x:c r="A27" s="2"/>
      <x:c r="B27" s="2"/>
      <x:c r="C27" s="2"/>
      <x:c r="D27" s="2"/>
      <x:c r="E27" s="2"/>
      <x:c r="F27" s="2"/>
      <x:c r="G27" s="2"/>
      <x:c r="H27" s="2"/>
      <x:c r="I27" s="2"/>
      <x:c r="J27" s="2"/>
      <x:c r="K27" s="2"/>
      <x:c r="L27" s="2"/>
      <x:c r="M27" s="2"/>
      <x:c r="N27" s="2"/>
      <x:c r="O27" s="2"/>
      <x:c r="P27" s="2"/>
      <x:c r="Q27" s="2"/>
      <x:c r="R27" s="2"/>
      <x:c r="S27" s="2"/>
      <x:c r="T27" s="2"/>
      <x:c r="U27" s="2"/>
      <x:c r="V27" s="2"/>
      <x:c r="W27" s="2"/>
      <x:c r="X27" s="2"/>
      <x:c r="Y27" s="2"/>
      <x:c r="Z27" s="2"/>
    </x:row>
    <x:row r="28" ht="23.25" customHeight="1">
      <x:c r="A28" s="2"/>
      <x:c r="B28" s="2"/>
      <x:c r="C28" s="3" t="str">
        <x:v>Latest optimizations · 1,000 requests · 2026-09-06</x:v>
      </x:c>
      <x:c r="D28" s="3" t="str">
        <x:v>New optimizations · 1,000 requests · 2026-09-05</x:v>
      </x:c>
      <x:c r="E28" s="3" t="str">
        <x:v>New optimizations · 1,000 requests · 2026-09-05</x:v>
      </x:c>
      <x:c r="F28" s="3" t="str">
        <x:v>New optimizations · 1,000 requests · 2026-09-05</x:v>
      </x:c>
      <x:c r="G28" s="3" t="str">
        <x:v>New optimizations · 1,000 requests · 2026-09-05</x:v>
      </x:c>
      <x:c r="H28" s="3" t="str">
        <x:v>New optimizations · 1,000 requests · 2026-09-05</x:v>
      </x:c>
      <x:c r="I28" s="3" t="str">
        <x:v>New optimizations · 1,000 requests · 2026-09-05</x:v>
      </x:c>
      <x:c r="J28" s="3" t="str">
        <x:v>New optimizations · 1,000 requests · 2026-09-05</x:v>
      </x:c>
      <x:c r="K28" s="2"/>
      <x:c r="L28" s="2"/>
      <x:c r="M28" s="2"/>
      <x:c r="N28" s="2"/>
      <x:c r="O28" s="2"/>
      <x:c r="P28" s="2"/>
      <x:c r="Q28" s="2"/>
      <x:c r="R28" s="2"/>
      <x:c r="S28" s="2"/>
      <x:c r="T28" s="2"/>
      <x:c r="U28" s="2"/>
      <x:c r="V28" s="2"/>
      <x:c r="W28" s="2"/>
      <x:c r="X28" s="2"/>
      <x:c r="Y28" s="2"/>
      <x:c r="Z28" s="2"/>
    </x:row>
    <x:row r="29" ht="26.25" customHeight="1">
      <x:c r="A29" s="2"/>
      <x:c r="B29" s="2"/>
      <x:c r="C29" s="32" t="str">
        <x:v>Custom: all 665 + 335</x:v>
      </x:c>
      <x:c r="D29" s="33" t="str">
        <x:v>Custom: all 665 + 335</x:v>
      </x:c>
      <x:c r="E29" s="34" t="str">
        <x:v>Custom: all 665 + 335</x:v>
      </x:c>
      <x:c r="F29" s="2"/>
      <x:c r="G29" s="2"/>
      <x:c r="H29" s="2"/>
      <x:c r="I29" s="2"/>
      <x:c r="J29" s="2"/>
      <x:c r="K29" s="2"/>
      <x:c r="L29" s="2"/>
      <x:c r="M29" s="2"/>
      <x:c r="N29" s="2"/>
      <x:c r="O29" s="2"/>
      <x:c r="P29" s="2"/>
      <x:c r="Q29" s="2"/>
      <x:c r="R29" s="2"/>
      <x:c r="S29" s="2"/>
      <x:c r="T29" s="2"/>
      <x:c r="U29" s="2"/>
      <x:c r="V29" s="2"/>
      <x:c r="W29" s="2"/>
      <x:c r="X29" s="2"/>
      <x:c r="Y29" s="2"/>
      <x:c r="Z29" s="2"/>
    </x:row>
    <x:row r="30" ht="24.75" customHeight="1">
      <x:c r="A30" s="2"/>
      <x:c r="B30" s="2"/>
      <x:c r="C30" s="37" t="str">
        <x:v>Concurrency/Latency</x:v>
      </x:c>
      <x:c r="D30" s="38" t="str">
        <x:v>Mean(s)</x:v>
      </x:c>
      <x:c r="E30" s="38" t="str">
        <x:v>P50(s)</x:v>
      </x:c>
      <x:c r="F30" s="38" t="str">
        <x:v>P90(s)</x:v>
      </x:c>
      <x:c r="G30" s="38" t="str">
        <x:v>P95(s)</x:v>
      </x:c>
      <x:c r="H30" s="38" t="str">
        <x:v>P99(s)</x:v>
      </x:c>
      <x:c r="I30" s="38" t="str">
        <x:v>Max(s)</x:v>
      </x:c>
      <x:c r="J30" s="38" t="str">
        <x:v>QPS</x:v>
      </x:c>
      <x:c r="K30" s="2"/>
      <x:c r="L30" s="49" t="str">
        <x:v>The new block uses a larger, different workload than the historical random-100 block. No matched new vLLM run was requested; cross-block changes are not controlled speedup measurements.</x:v>
      </x:c>
      <x:c r="M30" s="49" t="str">
        <x:v>The new block uses a larger, different workload than the historical random-100 block. No matched new vLLM run was requested; cross-block changes are not controlled speedup measurements.</x:v>
      </x:c>
      <x:c r="N30" s="49" t="str">
        <x:v>The new block uses a larger, different workload than the historical random-100 block. No matched new vLLM run was requested; cross-block changes are not controlled speedup measurements.</x:v>
      </x:c>
      <x:c r="O30" s="49" t="str">
        <x:v>The new block uses a larger, different workload than the historical random-100 block. No matched new vLLM run was requested; cross-block changes are not controlled speedup measurements.</x:v>
      </x:c>
      <x:c r="P30" s="49" t="str">
        <x:v>The new block uses a larger, different workload than the historical random-100 block. No matched new vLLM run was requested; cross-block changes are not controlled speedup measurements.</x:v>
      </x:c>
      <x:c r="Q30" s="49" t="str">
        <x:v>The new block uses a larger, different workload than the historical random-100 block. No matched new vLLM run was requested; cross-block changes are not controlled speedup measurements.</x:v>
      </x:c>
      <x:c r="R30" s="49" t="str">
        <x:v>The new block uses a larger, different workload than the historical random-100 block. No matched new vLLM run was requested; cross-block changes are not controlled speedup measurements.</x:v>
      </x:c>
      <x:c r="S30" s="49" t="str">
        <x:v>The new block uses a larger, different workload than the historical random-100 block. No matched new vLLM run was requested; cross-block changes are not controlled speedup measurements.</x:v>
      </x:c>
      <x:c r="T30" s="49" t="str">
        <x:v>The new block uses a larger, different workload than the historical random-100 block. No matched new vLLM run was requested; cross-block changes are not controlled speedup measurements.</x:v>
      </x:c>
      <x:c r="U30" s="49" t="str">
        <x:v>The new block uses a larger, different workload than the historical random-100 block. No matched new vLLM run was requested; cross-block changes are not controlled speedup measurements.</x:v>
      </x:c>
      <x:c r="V30" s="49" t="str">
        <x:v>The new block uses a larger, different workload than the historical random-100 block. No matched new vLLM run was requested; cross-block changes are not controlled speedup measurements.</x:v>
      </x:c>
      <x:c r="W30" s="49" t="str">
        <x:v>The new block uses a larger, different workload than the historical random-100 block. No matched new vLLM run was requested; cross-block changes are not controlled speedup measurements.</x:v>
      </x:c>
      <x:c r="X30" s="49" t="str">
        <x:v>The new block uses a larger, different workload than the historical random-100 block. No matched new vLLM run was requested; cross-block changes are not controlled speedup measurements.</x:v>
      </x:c>
      <x:c r="Y30" s="49" t="str">
        <x:v>The new block uses a larger, different workload than the historical random-100 block. No matched new vLLM run was requested; cross-block changes are not controlled speedup measurements.</x:v>
      </x:c>
      <x:c r="Z30" s="2"/>
    </x:row>
    <x:row r="31" ht="24.75" customHeight="1">
      <x:c r="A31" s="2"/>
      <x:c r="B31" s="2"/>
      <x:c r="C31" s="66" t="str">
        <x:v>B1 / C1</x:v>
      </x:c>
      <x:c r="D31" s="68" t="n">
        <x:v>0.5213162477005971</x:v>
      </x:c>
      <x:c r="E31" s="68" t="n">
        <x:v>0.33059578901156783</x:v>
      </x:c>
      <x:c r="F31" s="68" t="n">
        <x:v>1.1335126296267846</x:v>
      </x:c>
      <x:c r="G31" s="69" t="n">
        <x:v>1.6565518201270606</x:v>
      </x:c>
      <x:c r="H31" s="68" t="n">
        <x:v>3.3628204637719317</x:v>
      </x:c>
      <x:c r="I31" s="68" t="n">
        <x:v>3.429513827082701</x:v>
      </x:c>
      <x:c r="J31" s="69" t="n">
        <x:v>1.916940128951687</x:v>
      </x:c>
      <x:c r="K31" s="2"/>
      <x:c r="L31" s="49" t="str">
        <x:v>The new block uses a larger, different workload than the historical random-100 block. No matched new vLLM run was requested; cross-block changes are not controlled speedup measurements.</x:v>
      </x:c>
      <x:c r="M31" s="49" t="str">
        <x:v>The new block uses a larger, different workload than the historical random-100 block. No matched new vLLM run was requested; cross-block changes are not controlled speedup measurements.</x:v>
      </x:c>
      <x:c r="N31" s="49" t="str">
        <x:v>The new block uses a larger, different workload than the historical random-100 block. No matched new vLLM run was requested; cross-block changes are not controlled speedup measurements.</x:v>
      </x:c>
      <x:c r="O31" s="49" t="str">
        <x:v>The new block uses a larger, different workload than the historical random-100 block. No matched new vLLM run was requested; cross-block changes are not controlled speedup measurements.</x:v>
      </x:c>
      <x:c r="P31" s="49" t="str">
        <x:v>The new block uses a larger, different workload than the historical random-100 block. No matched new vLLM run was requested; cross-block changes are not controlled speedup measurements.</x:v>
      </x:c>
      <x:c r="Q31" s="49" t="str">
        <x:v>The new block uses a larger, different workload than the historical random-100 block. No matched new vLLM run was requested; cross-block changes are not controlled speedup measurements.</x:v>
      </x:c>
      <x:c r="R31" s="49" t="str">
        <x:v>The new block uses a larger, different workload than the historical random-100 block. No matched new vLLM run was requested; cross-block changes are not controlled speedup measurements.</x:v>
      </x:c>
      <x:c r="S31" s="49" t="str">
        <x:v>The new block uses a larger, different workload than the historical random-100 block. No matched new vLLM run was requested; cross-block changes are not controlled speedup measurements.</x:v>
      </x:c>
      <x:c r="T31" s="49" t="str">
        <x:v>The new block uses a larger, different workload than the historical random-100 block. No matched new vLLM run was requested; cross-block changes are not controlled speedup measurements.</x:v>
      </x:c>
      <x:c r="U31" s="49" t="str">
        <x:v>The new block uses a larger, different workload than the historical random-100 block. No matched new vLLM run was requested; cross-block changes are not controlled speedup measurements.</x:v>
      </x:c>
      <x:c r="V31" s="49" t="str">
        <x:v>The new block uses a larger, different workload than the historical random-100 block. No matched new vLLM run was requested; cross-block changes are not controlled speedup measurements.</x:v>
      </x:c>
      <x:c r="W31" s="49" t="str">
        <x:v>The new block uses a larger, different workload than the historical random-100 block. No matched new vLLM run was requested; cross-block changes are not controlled speedup measurements.</x:v>
      </x:c>
      <x:c r="X31" s="49" t="str">
        <x:v>The new block uses a larger, different workload than the historical random-100 block. No matched new vLLM run was requested; cross-block changes are not controlled speedup measurements.</x:v>
      </x:c>
      <x:c r="Y31" s="49" t="str">
        <x:v>The new block uses a larger, different workload than the historical random-100 block. No matched new vLLM run was requested; cross-block changes are not controlled speedup measurements.</x:v>
      </x:c>
      <x:c r="Z31" s="2"/>
    </x:row>
    <x:row r="32" ht="24.75" customHeight="1">
      <x:c r="A32" s="2"/>
      <x:c r="B32" s="2"/>
      <x:c r="C32" s="66" t="str">
        <x:v>B2 / C2</x:v>
      </x:c>
      <x:c r="D32" s="68" t="n">
        <x:v>0.6041275005427887</x:v>
      </x:c>
      <x:c r="E32" s="68" t="n">
        <x:v>0.3743322269874625</x:v>
      </x:c>
      <x:c r="F32" s="68" t="n">
        <x:v>1.336234595521819</x:v>
      </x:c>
      <x:c r="G32" s="69" t="n">
        <x:v>1.9527289563324304</x:v>
      </x:c>
      <x:c r="H32" s="68" t="n">
        <x:v>3.896921452964889</x:v>
      </x:c>
      <x:c r="I32" s="68" t="n">
        <x:v>4.195354482973926</x:v>
      </x:c>
      <x:c r="J32" s="69" t="n">
        <x:v>3.3022555894193437</x:v>
      </x:c>
      <x:c r="K32" s="2"/>
      <x:c r="L32" s="49" t="str">
        <x:v>The new block uses a larger, different workload than the historical random-100 block. No matched new vLLM run was requested; cross-block changes are not controlled speedup measurements.</x:v>
      </x:c>
      <x:c r="M32" s="49" t="str">
        <x:v>The new block uses a larger, different workload than the historical random-100 block. No matched new vLLM run was requested; cross-block changes are not controlled speedup measurements.</x:v>
      </x:c>
      <x:c r="N32" s="49" t="str">
        <x:v>The new block uses a larger, different workload than the historical random-100 block. No matched new vLLM run was requested; cross-block changes are not controlled speedup measurements.</x:v>
      </x:c>
      <x:c r="O32" s="49" t="str">
        <x:v>The new block uses a larger, different workload than the historical random-100 block. No matched new vLLM run was requested; cross-block changes are not controlled speedup measurements.</x:v>
      </x:c>
      <x:c r="P32" s="49" t="str">
        <x:v>The new block uses a larger, different workload than the historical random-100 block. No matched new vLLM run was requested; cross-block changes are not controlled speedup measurements.</x:v>
      </x:c>
      <x:c r="Q32" s="49" t="str">
        <x:v>The new block uses a larger, different workload than the historical random-100 block. No matched new vLLM run was requested; cross-block changes are not controlled speedup measurements.</x:v>
      </x:c>
      <x:c r="R32" s="49" t="str">
        <x:v>The new block uses a larger, different workload than the historical random-100 block. No matched new vLLM run was requested; cross-block changes are not controlled speedup measurements.</x:v>
      </x:c>
      <x:c r="S32" s="49" t="str">
        <x:v>The new block uses a larger, different workload than the historical random-100 block. No matched new vLLM run was requested; cross-block changes are not controlled speedup measurements.</x:v>
      </x:c>
      <x:c r="T32" s="49" t="str">
        <x:v>The new block uses a larger, different workload than the historical random-100 block. No matched new vLLM run was requested; cross-block changes are not controlled speedup measurements.</x:v>
      </x:c>
      <x:c r="U32" s="49" t="str">
        <x:v>The new block uses a larger, different workload than the historical random-100 block. No matched new vLLM run was requested; cross-block changes are not controlled speedup measurements.</x:v>
      </x:c>
      <x:c r="V32" s="49" t="str">
        <x:v>The new block uses a larger, different workload than the historical random-100 block. No matched new vLLM run was requested; cross-block changes are not controlled speedup measurements.</x:v>
      </x:c>
      <x:c r="W32" s="49" t="str">
        <x:v>The new block uses a larger, different workload than the historical random-100 block. No matched new vLLM run was requested; cross-block changes are not controlled speedup measurements.</x:v>
      </x:c>
      <x:c r="X32" s="49" t="str">
        <x:v>The new block uses a larger, different workload than the historical random-100 block. No matched new vLLM run was requested; cross-block changes are not controlled speedup measurements.</x:v>
      </x:c>
      <x:c r="Y32" s="49" t="str">
        <x:v>The new block uses a larger, different workload than the historical random-100 block. No matched new vLLM run was requested; cross-block changes are not controlled speedup measurements.</x:v>
      </x:c>
      <x:c r="Z32" s="2"/>
    </x:row>
    <x:row r="33" ht="24.75" customHeight="1">
      <x:c r="A33" s="2"/>
      <x:c r="B33" s="2"/>
      <x:c r="C33" s="66" t="str">
        <x:v>B3 / C3</x:v>
      </x:c>
      <x:c r="D33" s="68" t="n">
        <x:v>0.7598435960153583</x:v>
      </x:c>
      <x:c r="E33" s="68" t="n">
        <x:v>0.4687598364544101</x:v>
      </x:c>
      <x:c r="F33" s="68" t="n">
        <x:v>1.713730762887281</x:v>
      </x:c>
      <x:c r="G33" s="69" t="n">
        <x:v>2.4720755729300423</x:v>
      </x:c>
      <x:c r="H33" s="68" t="n">
        <x:v>5.063775968842673</x:v>
      </x:c>
      <x:c r="I33" s="68" t="n">
        <x:v>5.5475653250468895</x:v>
      </x:c>
      <x:c r="J33" s="69" t="n">
        <x:v>3.930970276679353</x:v>
      </x:c>
      <x:c r="K33" s="2"/>
      <x:c r="L33" s="2"/>
      <x:c r="M33" s="2"/>
      <x:c r="N33" s="2"/>
      <x:c r="O33" s="2"/>
      <x:c r="P33" s="2"/>
      <x:c r="Q33" s="2"/>
      <x:c r="R33" s="2"/>
      <x:c r="S33" s="2"/>
      <x:c r="T33" s="2"/>
      <x:c r="U33" s="2"/>
      <x:c r="V33" s="2"/>
      <x:c r="W33" s="2"/>
      <x:c r="X33" s="2"/>
      <x:c r="Y33" s="2"/>
      <x:c r="Z33" s="2"/>
    </x:row>
    <x:row r="34" ht="24.75" customHeight="1">
      <x:c r="A34" s="2"/>
      <x:c r="B34" s="2"/>
      <x:c r="C34" s="66" t="str">
        <x:v>B4 / C4</x:v>
      </x:c>
      <x:c r="D34" s="68" t="n">
        <x:v>0.7755472345288145</x:v>
      </x:c>
      <x:c r="E34" s="68" t="n">
        <x:v>0.4701226999750361</x:v>
      </x:c>
      <x:c r="F34" s="68" t="n">
        <x:v>1.7669590109726416</x:v>
      </x:c>
      <x:c r="G34" s="69" t="n">
        <x:v>2.540035831264684</x:v>
      </x:c>
      <x:c r="H34" s="68" t="n">
        <x:v>5.108939005434513</x:v>
      </x:c>
      <x:c r="I34" s="68" t="n">
        <x:v>5.611563332029618</x:v>
      </x:c>
      <x:c r="J34" s="69" t="n">
        <x:v>5.128103389079862</x:v>
      </x:c>
      <x:c r="K34" s="2"/>
      <x:c r="L34" s="49" t="str">
        <x:v>Ordinary decoding. Packed MLP, complete-layer prefetch, RoPE lookup, linear vision patch projection, vision padding, setup GC freeze and no optional decode timing events. Unchanged input policy, native vocabulary map and KV4096.</x:v>
      </x:c>
      <x:c r="M34" s="49" t="str">
        <x:v>Ordinary decoding only. Latest CPU preparation and vision padding optimizations; unchanged model, input pixel policy, greedy selection, native vocabulary map, KV4096 and stopping rules.</x:v>
      </x:c>
      <x:c r="N34" s="49" t="str">
        <x:v>Ordinary decoding only. Latest CPU preparation and vision padding optimizations; unchanged model, input pixel policy, greedy selection, native vocabulary map, KV4096 and stopping rules.</x:v>
      </x:c>
      <x:c r="O34" s="49" t="str">
        <x:v>Ordinary decoding only. Latest CPU preparation and vision padding optimizations; unchanged model, input pixel policy, greedy selection, native vocabulary map, KV4096 and stopping rules.</x:v>
      </x:c>
      <x:c r="P34" s="49" t="str">
        <x:v>Ordinary decoding only. Latest CPU preparation and vision padding optimizations; unchanged model, input pixel policy, greedy selection, native vocabulary map, KV4096 and stopping rules.</x:v>
      </x:c>
      <x:c r="Q34" s="49" t="str">
        <x:v>Ordinary decoding only. Latest CPU preparation and vision padding optimizations; unchanged model, input pixel policy, greedy selection, native vocabulary map, KV4096 and stopping rules.</x:v>
      </x:c>
      <x:c r="R34" s="49" t="str">
        <x:v>Ordinary decoding only. Latest CPU preparation and vision padding optimizations; unchanged model, input pixel policy, greedy selection, native vocabulary map, KV4096 and stopping rules.</x:v>
      </x:c>
      <x:c r="S34" s="49" t="str">
        <x:v>Ordinary decoding only. Latest CPU preparation and vision padding optimizations; unchanged model, input pixel policy, greedy selection, native vocabulary map, KV4096 and stopping rules.</x:v>
      </x:c>
      <x:c r="T34" s="49" t="str">
        <x:v>Ordinary decoding only. Latest CPU preparation and vision padding optimizations; unchanged model, input pixel policy, greedy selection, native vocabulary map, KV4096 and stopping rules.</x:v>
      </x:c>
      <x:c r="U34" s="49" t="str">
        <x:v>Ordinary decoding only. Latest CPU preparation and vision padding optimizations; unchanged model, input pixel policy, greedy selection, native vocabulary map, KV4096 and stopping rules.</x:v>
      </x:c>
      <x:c r="V34" s="49" t="str">
        <x:v>Ordinary decoding only. Latest CPU preparation and vision padding optimizations; unchanged model, input pixel policy, greedy selection, native vocabulary map, KV4096 and stopping rules.</x:v>
      </x:c>
      <x:c r="W34" s="49" t="str">
        <x:v>Ordinary decoding only. Latest CPU preparation and vision padding optimizations; unchanged model, input pixel policy, greedy selection, native vocabulary map, KV4096 and stopping rules.</x:v>
      </x:c>
      <x:c r="X34" s="49" t="str">
        <x:v>Ordinary decoding only. Latest CPU preparation and vision padding optimizations; unchanged model, input pixel policy, greedy selection, native vocabulary map, KV4096 and stopping rules.</x:v>
      </x:c>
      <x:c r="Y34" s="49" t="str">
        <x:v>Ordinary decoding only. Latest CPU preparation and vision padding optimizations; unchanged model, input pixel policy, greedy selection, native vocabulary map, KV4096 and stopping rules.</x:v>
      </x:c>
      <x:c r="Z34" s="2"/>
    </x:row>
    <x:row r="35" ht="24.75" customHeight="1">
      <x:c r="A35" s="2"/>
      <x:c r="B35" s="2"/>
      <x:c r="C35" s="66" t="str">
        <x:v>B5 / C5</x:v>
      </x:c>
      <x:c r="D35" s="68" t="n">
        <x:v>0.8845392211870058</x:v>
      </x:c>
      <x:c r="E35" s="68" t="n">
        <x:v>0.5350188484298997</x:v>
      </x:c>
      <x:c r="F35" s="68" t="n">
        <x:v>2.0663810262689366</x:v>
      </x:c>
      <x:c r="G35" s="69" t="n">
        <x:v>2.8849450394802245</x:v>
      </x:c>
      <x:c r="H35" s="68" t="n">
        <x:v>5.887338578747585</x:v>
      </x:c>
      <x:c r="I35" s="68" t="n">
        <x:v>6.7386838279198855</x:v>
      </x:c>
      <x:c r="J35" s="69" t="n">
        <x:v>5.605123315729733</x:v>
      </x:c>
      <x:c r="K35" s="2"/>
      <x:c r="L35" s="49" t="str">
        <x:v>Ordinary decoding only. Latest CPU preparation and vision padding optimizations; unchanged model, input pixel policy, greedy selection, native vocabulary map, KV4096 and stopping rules.</x:v>
      </x:c>
      <x:c r="M35" s="49" t="str">
        <x:v>Ordinary decoding only. Latest CPU preparation and vision padding optimizations; unchanged model, input pixel policy, greedy selection, native vocabulary map, KV4096 and stopping rules.</x:v>
      </x:c>
      <x:c r="N35" s="49" t="str">
        <x:v>Ordinary decoding only. Latest CPU preparation and vision padding optimizations; unchanged model, input pixel policy, greedy selection, native vocabulary map, KV4096 and stopping rules.</x:v>
      </x:c>
      <x:c r="O35" s="49" t="str">
        <x:v>Ordinary decoding only. Latest CPU preparation and vision padding optimizations; unchanged model, input pixel policy, greedy selection, native vocabulary map, KV4096 and stopping rules.</x:v>
      </x:c>
      <x:c r="P35" s="49" t="str">
        <x:v>Ordinary decoding only. Latest CPU preparation and vision padding optimizations; unchanged model, input pixel policy, greedy selection, native vocabulary map, KV4096 and stopping rules.</x:v>
      </x:c>
      <x:c r="Q35" s="49" t="str">
        <x:v>Ordinary decoding only. Latest CPU preparation and vision padding optimizations; unchanged model, input pixel policy, greedy selection, native vocabulary map, KV4096 and stopping rules.</x:v>
      </x:c>
      <x:c r="R35" s="49" t="str">
        <x:v>Ordinary decoding only. Latest CPU preparation and vision padding optimizations; unchanged model, input pixel policy, greedy selection, native vocabulary map, KV4096 and stopping rules.</x:v>
      </x:c>
      <x:c r="S35" s="49" t="str">
        <x:v>Ordinary decoding only. Latest CPU preparation and vision padding optimizations; unchanged model, input pixel policy, greedy selection, native vocabulary map, KV4096 and stopping rules.</x:v>
      </x:c>
      <x:c r="T35" s="49" t="str">
        <x:v>Ordinary decoding only. Latest CPU preparation and vision padding optimizations; unchanged model, input pixel policy, greedy selection, native vocabulary map, KV4096 and stopping rules.</x:v>
      </x:c>
      <x:c r="U35" s="49" t="str">
        <x:v>Ordinary decoding only. Latest CPU preparation and vision padding optimizations; unchanged model, input pixel policy, greedy selection, native vocabulary map, KV4096 and stopping rules.</x:v>
      </x:c>
      <x:c r="V35" s="49" t="str">
        <x:v>Ordinary decoding only. Latest CPU preparation and vision padding optimizations; unchanged model, input pixel policy, greedy selection, native vocabulary map, KV4096 and stopping rules.</x:v>
      </x:c>
      <x:c r="W35" s="49" t="str">
        <x:v>Ordinary decoding only. Latest CPU preparation and vision padding optimizations; unchanged model, input pixel policy, greedy selection, native vocabulary map, KV4096 and stopping rules.</x:v>
      </x:c>
      <x:c r="X35" s="49" t="str">
        <x:v>Ordinary decoding only. Latest CPU preparation and vision padding optimizations; unchanged model, input pixel policy, greedy selection, native vocabulary map, KV4096 and stopping rules.</x:v>
      </x:c>
      <x:c r="Y35" s="49" t="str">
        <x:v>Ordinary decoding only. Latest CPU preparation and vision padding optimizations; unchanged model, input pixel policy, greedy selection, native vocabulary map, KV4096 and stopping rules.</x:v>
      </x:c>
      <x:c r="Z35" s="2"/>
    </x:row>
    <x:row r="36" ht="24.75" customHeight="1">
      <x:c r="A36" s="2"/>
      <x:c r="B36" s="2"/>
      <x:c r="C36" s="66" t="str">
        <x:v>B6 / C6</x:v>
      </x:c>
      <x:c r="D36" s="68" t="n">
        <x:v>0.9974676761954324</x:v>
      </x:c>
      <x:c r="E36" s="68" t="n">
        <x:v>0.5958280664635822</x:v>
      </x:c>
      <x:c r="F36" s="68" t="n">
        <x:v>2.2713731546071365</x:v>
      </x:c>
      <x:c r="G36" s="69" t="n">
        <x:v>3.2565520662174055</x:v>
      </x:c>
      <x:c r="H36" s="68" t="n">
        <x:v>6.556477977633474</x:v>
      </x:c>
      <x:c r="I36" s="68" t="n">
        <x:v>7.884030124987476</x:v>
      </x:c>
      <x:c r="J36" s="69" t="n">
        <x:v>5.942513646912682</x:v>
      </x:c>
      <x:c r="K36" s="2"/>
      <x:c r="L36" s="49" t="str">
        <x:v>Ordinary decoding only. Latest CPU preparation and vision padding optimizations; unchanged model, input pixel policy, greedy selection, native vocabulary map, KV4096 and stopping rules.</x:v>
      </x:c>
      <x:c r="M36" s="49" t="str">
        <x:v>Ordinary decoding only. Latest CPU preparation and vision padding optimizations; unchanged model, input pixel policy, greedy selection, native vocabulary map, KV4096 and stopping rules.</x:v>
      </x:c>
      <x:c r="N36" s="49" t="str">
        <x:v>Ordinary decoding only. Latest CPU preparation and vision padding optimizations; unchanged model, input pixel policy, greedy selection, native vocabulary map, KV4096 and stopping rules.</x:v>
      </x:c>
      <x:c r="O36" s="49" t="str">
        <x:v>Ordinary decoding only. Latest CPU preparation and vision padding optimizations; unchanged model, input pixel policy, greedy selection, native vocabulary map, KV4096 and stopping rules.</x:v>
      </x:c>
      <x:c r="P36" s="49" t="str">
        <x:v>Ordinary decoding only. Latest CPU preparation and vision padding optimizations; unchanged model, input pixel policy, greedy selection, native vocabulary map, KV4096 and stopping rules.</x:v>
      </x:c>
      <x:c r="Q36" s="49" t="str">
        <x:v>Ordinary decoding only. Latest CPU preparation and vision padding optimizations; unchanged model, input pixel policy, greedy selection, native vocabulary map, KV4096 and stopping rules.</x:v>
      </x:c>
      <x:c r="R36" s="49" t="str">
        <x:v>Ordinary decoding only. Latest CPU preparation and vision padding optimizations; unchanged model, input pixel policy, greedy selection, native vocabulary map, KV4096 and stopping rules.</x:v>
      </x:c>
      <x:c r="S36" s="49" t="str">
        <x:v>Ordinary decoding only. Latest CPU preparation and vision padding optimizations; unchanged model, input pixel policy, greedy selection, native vocabulary map, KV4096 and stopping rules.</x:v>
      </x:c>
      <x:c r="T36" s="49" t="str">
        <x:v>Ordinary decoding only. Latest CPU preparation and vision padding optimizations; unchanged model, input pixel policy, greedy selection, native vocabulary map, KV4096 and stopping rules.</x:v>
      </x:c>
      <x:c r="U36" s="49" t="str">
        <x:v>Ordinary decoding only. Latest CPU preparation and vision padding optimizations; unchanged model, input pixel policy, greedy selection, native vocabulary map, KV4096 and stopping rules.</x:v>
      </x:c>
      <x:c r="V36" s="49" t="str">
        <x:v>Ordinary decoding only. Latest CPU preparation and vision padding optimizations; unchanged model, input pixel policy, greedy selection, native vocabulary map, KV4096 and stopping rules.</x:v>
      </x:c>
      <x:c r="W36" s="49" t="str">
        <x:v>Ordinary decoding only. Latest CPU preparation and vision padding optimizations; unchanged model, input pixel policy, greedy selection, native vocabulary map, KV4096 and stopping rules.</x:v>
      </x:c>
      <x:c r="X36" s="49" t="str">
        <x:v>Ordinary decoding only. Latest CPU preparation and vision padding optimizations; unchanged model, input pixel policy, greedy selection, native vocabulary map, KV4096 and stopping rules.</x:v>
      </x:c>
      <x:c r="Y36" s="49" t="str">
        <x:v>Ordinary decoding only. Latest CPU preparation and vision padding optimizations; unchanged model, input pixel policy, greedy selection, native vocabulary map, KV4096 and stopping rules.</x:v>
      </x:c>
      <x:c r="Z36" s="2"/>
    </x:row>
    <x:row r="37" ht="24.75" customHeight="1">
      <x:c r="A37" s="2"/>
      <x:c r="B37" s="2"/>
      <x:c r="C37" s="66" t="str">
        <x:v>B7 / C7</x:v>
      </x:c>
      <x:c r="D37" s="68" t="n">
        <x:v>1.0593258181991987</x:v>
      </x:c>
      <x:c r="E37" s="68" t="n">
        <x:v>0.617943222518079</x:v>
      </x:c>
      <x:c r="F37" s="68" t="n">
        <x:v>2.407472352520563</x:v>
      </x:c>
      <x:c r="G37" s="69" t="n">
        <x:v>3.471485421829855</x:v>
      </x:c>
      <x:c r="H37" s="68" t="n">
        <x:v>7.015740477233191</x:v>
      </x:c>
      <x:c r="I37" s="68" t="n">
        <x:v>8.021164715057239</x:v>
      </x:c>
      <x:c r="J37" s="69" t="n">
        <x:v>6.508119820258158</x:v>
      </x:c>
      <x:c r="K37" s="2"/>
      <x:c r="L37" s="2"/>
      <x:c r="M37" s="2"/>
      <x:c r="N37" s="2"/>
      <x:c r="O37" s="2"/>
      <x:c r="P37" s="2"/>
      <x:c r="Q37" s="2"/>
      <x:c r="R37" s="2"/>
      <x:c r="S37" s="2"/>
      <x:c r="T37" s="2"/>
      <x:c r="U37" s="2"/>
      <x:c r="V37" s="2"/>
      <x:c r="W37" s="2"/>
      <x:c r="X37" s="2"/>
      <x:c r="Y37" s="2"/>
      <x:c r="Z37" s="2"/>
    </x:row>
    <x:row r="38" ht="24.75" customHeight="1">
      <x:c r="A38" s="2"/>
      <x:c r="B38" s="2"/>
      <x:c r="C38" s="66" t="str">
        <x:v>B8 / C7</x:v>
      </x:c>
      <x:c r="D38" s="68" t="n">
        <x:v>1.0653884073762456</x:v>
      </x:c>
      <x:c r="E38" s="68" t="n">
        <x:v>0.6112742489785887</x:v>
      </x:c>
      <x:c r="F38" s="68" t="n">
        <x:v>2.393488236877602</x:v>
      </x:c>
      <x:c r="G38" s="69" t="n">
        <x:v>3.582552019687135</x:v>
      </x:c>
      <x:c r="H38" s="68" t="n">
        <x:v>7.117921280496519</x:v>
      </x:c>
      <x:c r="I38" s="68" t="n">
        <x:v>7.991954467957839</x:v>
      </x:c>
      <x:c r="J38" s="69" t="n">
        <x:v>6.468149539254828</x:v>
      </x:c>
      <x:c r="K38" s="2"/>
      <x:c r="L38" s="49" t="str">
        <x:v>Each selected run: 1,000 responses, 988 EOS completions, 12 unchanged KV4096-cap outputs, no request errors. All 1,000 are included in latency and QPS. One physical 910B2 (NPU6), with exclusive ownership verified during measurement.</x:v>
      </x:c>
      <x:c r="M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38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38" s="2"/>
    </x:row>
    <x:row r="39" ht="24.75" customHeight="1">
      <x:c r="A39" s="2"/>
      <x:c r="B39" s="2"/>
      <x:c r="C39" s="66" t="str">
        <x:v>B8 / C8</x:v>
      </x:c>
      <x:c r="D39" s="68" t="n">
        <x:v>1.1240035916685593</x:v>
      </x:c>
      <x:c r="E39" s="68" t="n">
        <x:v>0.6648684749961831</x:v>
      </x:c>
      <x:c r="F39" s="68" t="n">
        <x:v>2.5825716336607005</x:v>
      </x:c>
      <x:c r="G39" s="69" t="n">
        <x:v>3.7681284833292006</x:v>
      </x:c>
      <x:c r="H39" s="68" t="n">
        <x:v>7.67259384816396</x:v>
      </x:c>
      <x:c r="I39" s="68" t="n">
        <x:v>8.543899290030822</x:v>
      </x:c>
      <x:c r="J39" s="69" t="n">
        <x:v>6.985774628299913</x:v>
      </x:c>
      <x:c r="K39" s="2"/>
      <x:c r="L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M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39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39" s="2"/>
    </x:row>
    <x:row r="40" ht="24.75" customHeight="1">
      <x:c r="A40" s="2"/>
      <x:c r="B40" s="2"/>
      <x:c r="C40" s="71" t="str">
        <x:v>B16 / C16</x:v>
      </x:c>
      <x:c r="D40" s="73" t="n">
        <x:v>1.8402280153116444</x:v>
      </x:c>
      <x:c r="E40" s="73" t="n">
        <x:v>1.053500725014601</x:v>
      </x:c>
      <x:c r="F40" s="73" t="n">
        <x:v>4.320971092197579</x:v>
      </x:c>
      <x:c r="G40" s="74" t="n">
        <x:v>6.105224792403168</x:v>
      </x:c>
      <x:c r="H40" s="73" t="n">
        <x:v>13.219456814958248</x:v>
      </x:c>
      <x:c r="I40" s="73" t="n">
        <x:v>14.079549701069482</x:v>
      </x:c>
      <x:c r="J40" s="74" t="n">
        <x:v>8.364789333155967</x:v>
      </x:c>
      <x:c r="K40" s="2"/>
      <x:c r="L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M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N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O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P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Q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R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S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T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U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V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W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X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Y40" s="49" t="str">
        <x:v>KV4096 limit stops, retained in every latency denominator: B1: 12; B2: 12; B4C3: 12; B4C4: 12; B8: 12; B16: 12. QPS counts returned requests, including these capped outputs; not proof of complete-output goal validation.</x:v>
      </x:c>
      <x:c r="Z40" s="2"/>
    </x:row>
    <x:row r="41" ht="23.25" customHeight="1">
      <x:c r="A41" s="2"/>
      <x:c r="B41" s="2"/>
      <x:c r="C41" s="29" t="str">
        <x:v>Seed 3: all 665 tables once, then 335 distinct tables from the same corpus. Identical order in every lane. B = static decode batch; C = maximum requests in flight.</x:v>
      </x:c>
      <x:c r="D41" s="29" t="str">
        <x:v>Seed 3: all 665 tables once, then 335 distinct tables from the same corpus. Identical order in every lane. B = static decode batch; C = maximum requests in flight.</x:v>
      </x:c>
      <x:c r="E41" s="29" t="str">
        <x:v>Seed 3: all 665 tables once, then 335 distinct tables from the same corpus. Identical order in every lane. B = static decode batch; C = maximum requests in flight.</x:v>
      </x:c>
      <x:c r="F41" s="29" t="str">
        <x:v>Seed 3: all 665 tables once, then 335 distinct tables from the same corpus. Identical order in every lane. B = static decode batch; C = maximum requests in flight.</x:v>
      </x:c>
      <x:c r="G41" s="29" t="str">
        <x:v>Seed 3: all 665 tables once, then 335 distinct tables from the same corpus. Identical order in every lane. B = static decode batch; C = maximum requests in flight.</x:v>
      </x:c>
      <x:c r="H41" s="29" t="str">
        <x:v>Seed 3: all 665 tables once, then 335 distinct tables from the same corpus. Identical order in every lane. B = static decode batch; C = maximum requests in flight.</x:v>
      </x:c>
      <x:c r="I41" s="29" t="str">
        <x:v>Seed 3: all 665 tables once, then 335 distinct tables from the same corpus. Identical order in every lane. B = static decode batch; C = maximum requests in flight.</x:v>
      </x:c>
      <x:c r="J41" s="29" t="str">
        <x:v>Seed 3: all 665 tables once, then 335 distinct tables from the same corpus. Identical order in every lane. B = static decode batch; C = maximum requests in flight.</x:v>
      </x:c>
      <x:c r="K41" s="2"/>
      <x:c r="L41" s="2"/>
      <x:c r="M41" s="2"/>
      <x:c r="N41" s="2"/>
      <x:c r="O41" s="2"/>
      <x:c r="P41" s="2"/>
      <x:c r="Q41" s="2"/>
      <x:c r="R41" s="2"/>
      <x:c r="S41" s="2"/>
      <x:c r="T41" s="2"/>
      <x:c r="U41" s="2"/>
      <x:c r="V41" s="2"/>
      <x:c r="W41" s="2"/>
      <x:c r="X41" s="2"/>
      <x:c r="Y41" s="2"/>
      <x:c r="Z41" s="2"/>
    </x:row>
    <x:row r="42" ht="23.25" customHeight="1">
      <x:c r="C42" s="29" t="str">
        <x:v>Seed 3: all 665 tables once, then 335 distinct tables from the same corpus. Identical order in every lane. B = static decode batch; C = maximum requests in flight.</x:v>
      </x:c>
      <x:c r="D42" s="29" t="str">
        <x:v>Seed 3: all 665 tables once, then 335 distinct tables from the same corpus. Identical order in every lane. B = static decode batch; C = maximum requests in flight.</x:v>
      </x:c>
      <x:c r="E42" s="29" t="str">
        <x:v>Seed 3: all 665 tables once, then 335 distinct tables from the same corpus. Identical order in every lane. B = static decode batch; C = maximum requests in flight.</x:v>
      </x:c>
      <x:c r="F42" s="29" t="str">
        <x:v>Seed 3: all 665 tables once, then 335 distinct tables from the same corpus. Identical order in every lane. B = static decode batch; C = maximum requests in flight.</x:v>
      </x:c>
      <x:c r="G42" s="29" t="str">
        <x:v>Seed 3: all 665 tables once, then 335 distinct tables from the same corpus. Identical order in every lane. B = static decode batch; C = maximum requests in flight.</x:v>
      </x:c>
      <x:c r="H42" s="29" t="str">
        <x:v>Seed 3: all 665 tables once, then 335 distinct tables from the same corpus. Identical order in every lane. B = static decode batch; C = maximum requests in flight.</x:v>
      </x:c>
      <x:c r="I42" s="29" t="str">
        <x:v>Seed 3: all 665 tables once, then 335 distinct tables from the same corpus. Identical order in every lane. B = static decode batch; C = maximum requests in flight.</x:v>
      </x:c>
      <x:c r="J42" s="29" t="str">
        <x:v>Seed 3: all 665 tables once, then 335 distinct tables from the same corpus. Identical order in every lane. B = static decode batch; C = maximum requests in flight.</x:v>
      </x:c>
    </x:row>
    <x:row r="44" ht="23.25" customHeight="1">
      <x:c r="C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D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E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F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G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H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I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J44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</x:row>
    <x:row r="45" ht="23.25" customHeight="1">
      <x:c r="C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D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E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F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G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H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I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  <x:c r="J45" s="29" t="str">
        <x:v>One new 1,000-request run per tested configuration. B2 shows the higher-P95 run of all three validations (the new reconfirmation). B5 retains the higher-P95 run of its two earlier validations. All metrics in each row come from one run.</x:v>
      </x:c>
    </x:row>
  </x:sheetData>
  <x:mergeCells>
    <x:mergeCell ref="C3:J3"/>
    <x:mergeCell ref="L3:O3"/>
    <x:mergeCell ref="R3:Y3"/>
    <x:mergeCell ref="C4:E4"/>
    <x:mergeCell ref="R4:T4"/>
    <x:mergeCell ref="L4:O4"/>
    <x:mergeCell ref="L12:O13"/>
    <x:mergeCell ref="C15:E15"/>
    <x:mergeCell ref="R15:T15"/>
    <x:mergeCell ref="L15:O15"/>
    <x:mergeCell ref="L23:O24"/>
    <x:mergeCell ref="C12:J12"/>
    <x:mergeCell ref="C23:J23"/>
    <x:mergeCell ref="R12:Y12"/>
    <x:mergeCell ref="R23:Y23"/>
    <x:mergeCell ref="C25:Y25"/>
    <x:mergeCell ref="C28:J28"/>
    <x:mergeCell ref="C29:E29"/>
    <x:mergeCell ref="L30:Y32"/>
    <x:mergeCell ref="L34:Y36"/>
    <x:mergeCell ref="L38:Y40"/>
    <x:mergeCell ref="C41:J42"/>
    <x:mergeCell ref="C44:J45"/>
  </x:mergeCells>
  <x:conditionalFormatting sqref="M6:O6">
    <x:cfRule type="cellIs" dxfId="0" priority="1" operator="greaterThan">
      <x:formula>1</x:formula>
    </x:cfRule>
    <x:cfRule type="cellIs" dxfId="1" priority="2" operator="lessThan">
      <x:formula>1</x:formula>
    </x:cfRule>
  </x:conditionalFormatting>
  <x:conditionalFormatting sqref="M7:O7">
    <x:cfRule type="cellIs" dxfId="2" priority="3" operator="greaterThan">
      <x:formula>1</x:formula>
    </x:cfRule>
    <x:cfRule type="cellIs" dxfId="3" priority="4" operator="lessThan">
      <x:formula>1</x:formula>
    </x:cfRule>
  </x:conditionalFormatting>
  <x:conditionalFormatting sqref="M8:O8">
    <x:cfRule type="cellIs" dxfId="4" priority="5" operator="greaterThan">
      <x:formula>1</x:formula>
    </x:cfRule>
    <x:cfRule type="cellIs" dxfId="5" priority="6" operator="lessThan">
      <x:formula>1</x:formula>
    </x:cfRule>
  </x:conditionalFormatting>
  <x:conditionalFormatting sqref="M9:O9">
    <x:cfRule type="cellIs" dxfId="6" priority="7" operator="greaterThan">
      <x:formula>1</x:formula>
    </x:cfRule>
    <x:cfRule type="cellIs" dxfId="7" priority="8" operator="lessThan">
      <x:formula>1</x:formula>
    </x:cfRule>
  </x:conditionalFormatting>
  <x:conditionalFormatting sqref="M10:O10">
    <x:cfRule type="cellIs" dxfId="8" priority="9" operator="greaterThan">
      <x:formula>1</x:formula>
    </x:cfRule>
    <x:cfRule type="cellIs" dxfId="9" priority="10" operator="lessThan">
      <x:formula>1</x:formula>
    </x:cfRule>
  </x:conditionalFormatting>
  <x:conditionalFormatting sqref="M17:O17">
    <x:cfRule type="cellIs" dxfId="10" priority="11" operator="greaterThan">
      <x:formula>1</x:formula>
    </x:cfRule>
    <x:cfRule type="cellIs" dxfId="11" priority="12" operator="lessThan">
      <x:formula>1</x:formula>
    </x:cfRule>
  </x:conditionalFormatting>
  <x:conditionalFormatting sqref="M18:O18">
    <x:cfRule type="cellIs" dxfId="12" priority="13" operator="greaterThan">
      <x:formula>1</x:formula>
    </x:cfRule>
    <x:cfRule type="cellIs" dxfId="13" priority="14" operator="lessThan">
      <x:formula>1</x:formula>
    </x:cfRule>
  </x:conditionalFormatting>
  <x:conditionalFormatting sqref="M19:O19">
    <x:cfRule type="cellIs" dxfId="14" priority="15" operator="greaterThan">
      <x:formula>1</x:formula>
    </x:cfRule>
    <x:cfRule type="cellIs" dxfId="15" priority="16" operator="lessThan">
      <x:formula>1</x:formula>
    </x:cfRule>
  </x:conditionalFormatting>
  <x:conditionalFormatting sqref="M20:O20">
    <x:cfRule type="cellIs" dxfId="16" priority="17" operator="greaterThan">
      <x:formula>1</x:formula>
    </x:cfRule>
    <x:cfRule type="cellIs" dxfId="17" priority="18" operator="lessThan">
      <x:formula>1</x:formula>
    </x:cfRule>
  </x:conditionalFormatting>
  <x:conditionalFormatting sqref="M21:O21">
    <x:cfRule type="cellIs" dxfId="18" priority="19" operator="greaterThan">
      <x:formula>1</x:formula>
    </x:cfRule>
    <x:cfRule type="cellIs" dxfId="19" priority="20" operator="lessThan">
      <x:formula>1</x:formula>
    </x:cfRule>
  </x:conditionalFormatting>
  <x:pageMargins left="0.7" right="0.7" top="0.75" bottom="0.75" header="0.3" footer="0.3"/>
</x:worksheet>
</file>

<file path=xl/worksheets/sheet2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16.670000076293945" hidden="0" customWidth="1"/>
    <x:col min="2" max="2" width="12.220000267028809" hidden="0" customWidth="1"/>
    <x:col min="3" max="3" width="12.220000267028809" hidden="0" customWidth="1"/>
    <x:col min="4" max="4" width="12.220000267028809" hidden="0" customWidth="1"/>
    <x:col min="5" max="5" width="12.220000267028809" hidden="0" customWidth="1"/>
    <x:col min="6" max="6" width="12.220000267028809" hidden="0" customWidth="1"/>
    <x:col min="7" max="7" width="12.220000267028809" hidden="0" customWidth="1"/>
    <x:col min="8" max="8" width="12.220000267028809" hidden="0" customWidth="1"/>
    <x:col min="9" max="9" width="12.220000267028809" hidden="0" customWidth="1"/>
    <x:col min="10" max="10" width="12.220000267028809" hidden="0" customWidth="1"/>
    <x:col min="11" max="11" width="12.220000267028809" hidden="0" customWidth="1"/>
  </x:cols>
  <x:sheetData>
    <x:row r="1" ht="22.5" customHeight="1">
      <x:c r="A1" s="9" t="str">
        <x:v>Cohort</x:v>
      </x:c>
      <x:c r="B1" s="9" t="str">
        <x:v>Concurrency</x:v>
      </x:c>
      <x:c r="C1" s="9" t="str">
        <x:v>Requests</x:v>
      </x:c>
      <x:c r="D1" s="9" t="str">
        <x:v>Elapsed(s)</x:v>
      </x:c>
      <x:c r="E1" s="9" t="str">
        <x:v>Mean(s)</x:v>
      </x:c>
      <x:c r="F1" s="9" t="str">
        <x:v>P50(s)</x:v>
      </x:c>
      <x:c r="G1" s="9" t="str">
        <x:v>P90(s)</x:v>
      </x:c>
      <x:c r="H1" s="9" t="str">
        <x:v>P95(s)</x:v>
      </x:c>
      <x:c r="I1" s="9" t="str">
        <x:v>P99(s)</x:v>
      </x:c>
      <x:c r="J1" s="9" t="str">
        <x:v>Max(s)</x:v>
      </x:c>
      <x:c r="K1" s="9" t="str">
        <x:v>QPS</x:v>
      </x:c>
    </x:row>
    <x:row r="2" ht="22.5" customHeight="1">
      <x:c r="A2" s="23" t="str">
        <x:v>Hardest 50</x:v>
      </x:c>
      <x:c r="B2" s="23" t="n">
        <x:v>1</x:v>
      </x:c>
      <x:c r="C2" s="23" t="n">
        <x:v>50</x:v>
      </x:c>
      <x:c r="D2" s="24" t="n">
        <x:v>806.6188326210249</x:v>
      </x:c>
      <x:c r="E2" s="24" t="n">
        <x:v>16.131122591327877</x:v>
      </x:c>
      <x:c r="F2" s="24" t="n">
        <x:v>14.127822387497872</x:v>
      </x:c>
      <x:c r="G2" s="24" t="n">
        <x:v>24.657024169131184</x:v>
      </x:c>
      <x:c r="H2" s="24" t="n">
        <x:v>25.288723748747724</x:v>
      </x:c>
      <x:c r="I2" s="24" t="n">
        <x:v>25.65289815873606</x:v>
      </x:c>
      <x:c r="J2" s="24" t="n">
        <x:v>25.75589959998615</x:v>
      </x:c>
      <x:c r="K2" s="24" t="n">
        <x:f>C2/D2</x:f>
        <x:v>0.06198714681323537</x:v>
      </x:c>
    </x:row>
    <x:row r="3" ht="22.5" customHeight="1">
      <x:c r="A3" s="23" t="str">
        <x:v>Hardest 50</x:v>
      </x:c>
      <x:c r="B3" s="23" t="n">
        <x:v>2</x:v>
      </x:c>
      <x:c r="C3" s="23" t="n">
        <x:v>50</x:v>
      </x:c>
      <x:c r="D3" s="24" t="n">
        <x:v>436.04644482396543</x:v>
      </x:c>
      <x:c r="E3" s="24" t="n">
        <x:v>17.192326189537997</x:v>
      </x:c>
      <x:c r="F3" s="24" t="n">
        <x:v>15.196844285936095</x:v>
      </x:c>
      <x:c r="G3" s="24" t="n">
        <x:v>26.256257998384534</x:v>
      </x:c>
      <x:c r="H3" s="24" t="n">
        <x:v>27.18154602277209</x:v>
      </x:c>
      <x:c r="I3" s="24" t="n">
        <x:v>28.313608236699366</x:v>
      </x:c>
      <x:c r="J3" s="24" t="n">
        <x:v>28.396468276972882</x:v>
      </x:c>
      <x:c r="K3" s="24" t="n">
        <x:f>C3/D3</x:f>
        <x:v>0.11466668423402764</x:v>
      </x:c>
    </x:row>
    <x:row r="4" ht="22.5" customHeight="1">
      <x:c r="A4" s="23" t="str">
        <x:v>Hardest 50</x:v>
      </x:c>
      <x:c r="B4" s="23" t="n">
        <x:v>4</x:v>
      </x:c>
      <x:c r="C4" s="23" t="n">
        <x:v>50</x:v>
      </x:c>
      <x:c r="D4" s="24" t="n">
        <x:v>254.33349770493805</x:v>
      </x:c>
      <x:c r="E4" s="24" t="n">
        <x:v>19.011085993479938</x:v>
      </x:c>
      <x:c r="F4" s="24" t="n">
        <x:v>15.921061699511483</x:v>
      </x:c>
      <x:c r="G4" s="24" t="n">
        <x:v>29.32993160429178</x:v>
      </x:c>
      <x:c r="H4" s="24" t="n">
        <x:v>29.4303140169417</x:v>
      </x:c>
      <x:c r="I4" s="24" t="n">
        <x:v>30.107988716386025</x:v>
      </x:c>
      <x:c r="J4" s="24" t="n">
        <x:v>30.203440147917718</x:v>
      </x:c>
      <x:c r="K4" s="24" t="n">
        <x:f>C4/D4</x:f>
        <x:v>0.1965922713727898</x:v>
      </x:c>
    </x:row>
    <x:row r="5" ht="22.5" customHeight="1">
      <x:c r="A5" s="23" t="str">
        <x:v>Hardest 50</x:v>
      </x:c>
      <x:c r="B5" s="23" t="n">
        <x:v>8</x:v>
      </x:c>
      <x:c r="C5" s="23" t="n">
        <x:v>50</x:v>
      </x:c>
      <x:c r="D5" s="24" t="n">
        <x:v>124.14587613602635</x:v>
      </x:c>
      <x:c r="E5" s="24" t="n">
        <x:v>17.931307165685574</x:v>
      </x:c>
      <x:c r="F5" s="24" t="n">
        <x:v>14.75169758044649</x:v>
      </x:c>
      <x:c r="G5" s="24" t="n">
        <x:v>27.47444471975323</x:v>
      </x:c>
      <x:c r="H5" s="24" t="n">
        <x:v>27.989560999703826</x:v>
      </x:c>
      <x:c r="I5" s="24" t="n">
        <x:v>28.846258573801023</x:v>
      </x:c>
      <x:c r="J5" s="24" t="n">
        <x:v>28.870744107989594</x:v>
      </x:c>
      <x:c r="K5" s="24" t="n">
        <x:f>C5/D5</x:f>
        <x:v>0.40275200076090417</x:v>
      </x:c>
    </x:row>
    <x:row r="6" ht="22.5" customHeight="1">
      <x:c r="A6" s="23" t="str">
        <x:v>Hardest 50</x:v>
      </x:c>
      <x:c r="B6" s="23" t="n">
        <x:v>16</x:v>
      </x:c>
      <x:c r="C6" s="23" t="n">
        <x:v>50</x:v>
      </x:c>
      <x:c r="D6" s="24" t="n">
        <x:v>76.00307325494941</x:v>
      </x:c>
      <x:c r="E6" s="24" t="n">
        <x:v>20.245507987963503</x:v>
      </x:c>
      <x:c r="F6" s="24" t="n">
        <x:v>17.207937215978745</x:v>
      </x:c>
      <x:c r="G6" s="24" t="n">
        <x:v>30.49750305823982</x:v>
      </x:c>
      <x:c r="H6" s="24" t="n">
        <x:v>31.715361928485798</x:v>
      </x:c>
      <x:c r="I6" s="24" t="n">
        <x:v>32.97457363727968</x:v>
      </x:c>
      <x:c r="J6" s="24" t="n">
        <x:v>33.020568578038365</x:v>
      </x:c>
      <x:c r="K6" s="24" t="n">
        <x:f>C6/D6</x:f>
        <x:v>0.6578681342565833</x:v>
      </x:c>
    </x:row>
    <x:row r="7" ht="22.5" customHeight="1">
      <x:c r="A7" s="43" t="str">
        <x:v>Random 100</x:v>
      </x:c>
      <x:c r="B7" s="43" t="n">
        <x:v>1</x:v>
      </x:c>
      <x:c r="C7" s="43" t="n">
        <x:v>100</x:v>
      </x:c>
      <x:c r="D7" s="44" t="n">
        <x:v>339.1767649160465</x:v>
      </x:c>
      <x:c r="E7" s="44" t="n">
        <x:v>3.3912201776204167</x:v>
      </x:c>
      <x:c r="F7" s="44" t="n">
        <x:v>1.9491231919964775</x:v>
      </x:c>
      <x:c r="G7" s="44" t="n">
        <x:v>6.980321664176882</x:v>
      </x:c>
      <x:c r="H7" s="44" t="n">
        <x:v>10.595227593649174</x:v>
      </x:c>
      <x:c r="I7" s="44" t="n">
        <x:v>22.40892382476596</x:v>
      </x:c>
      <x:c r="J7" s="44" t="n">
        <x:v>24.214110495056957</x:v>
      </x:c>
      <x:c r="K7" s="44" t="n">
        <x:f>C7/D7</x:f>
        <x:v>0.2948315166127377</x:v>
      </x:c>
    </x:row>
    <x:row r="8" ht="22.5" customHeight="1">
      <x:c r="A8" s="43" t="str">
        <x:v>Random 100</x:v>
      </x:c>
      <x:c r="B8" s="43" t="n">
        <x:v>2</x:v>
      </x:c>
      <x:c r="C8" s="43" t="n">
        <x:v>100</x:v>
      </x:c>
      <x:c r="D8" s="44" t="n">
        <x:v>187.70124841295183</x:v>
      </x:c>
      <x:c r="E8" s="44" t="n">
        <x:v>3.6729107395501344</x:v>
      </x:c>
      <x:c r="F8" s="44" t="n">
        <x:v>2.1905918805277906</x:v>
      </x:c>
      <x:c r="G8" s="44" t="n">
        <x:v>7.367764869972603</x:v>
      </x:c>
      <x:c r="H8" s="44" t="n">
        <x:v>11.437962386099384</x:v>
      </x:c>
      <x:c r="I8" s="44" t="n">
        <x:v>23.884775217049764</x:v>
      </x:c>
      <x:c r="J8" s="44" t="n">
        <x:v>25.927635177969933</x:v>
      </x:c>
      <x:c r="K8" s="44" t="n">
        <x:f>C8/D8</x:f>
        <x:v>0.5327615071584135</x:v>
      </x:c>
    </x:row>
    <x:row r="9" ht="22.5" customHeight="1">
      <x:c r="A9" s="43" t="str">
        <x:v>Random 100</x:v>
      </x:c>
      <x:c r="B9" s="43" t="n">
        <x:v>4</x:v>
      </x:c>
      <x:c r="C9" s="43" t="n">
        <x:v>100</x:v>
      </x:c>
      <x:c r="D9" s="44" t="n">
        <x:v>108.39874666195828</x:v>
      </x:c>
      <x:c r="E9" s="44" t="n">
        <x:v>3.974306773324497</x:v>
      </x:c>
      <x:c r="F9" s="44" t="n">
        <x:v>2.225040065997746</x:v>
      </x:c>
      <x:c r="G9" s="44" t="n">
        <x:v>8.091284958191684</x:v>
      </x:c>
      <x:c r="H9" s="44" t="n">
        <x:v>13.455026104161515</x:v>
      </x:c>
      <x:c r="I9" s="44" t="n">
        <x:v>26.443342877869735</x:v>
      </x:c>
      <x:c r="J9" s="44" t="n">
        <x:v>27.812006975058466</x:v>
      </x:c>
      <x:c r="K9" s="44" t="n">
        <x:f>C9/D9</x:f>
        <x:v>0.9225198914139682</x:v>
      </x:c>
    </x:row>
    <x:row r="10" ht="22.5" customHeight="1">
      <x:c r="A10" s="43" t="str">
        <x:v>Random 100</x:v>
      </x:c>
      <x:c r="B10" s="43" t="n">
        <x:v>8</x:v>
      </x:c>
      <x:c r="C10" s="43" t="n">
        <x:v>100</x:v>
      </x:c>
      <x:c r="D10" s="44" t="n">
        <x:v>65.03999969095457</x:v>
      </x:c>
      <x:c r="E10" s="44" t="n">
        <x:v>4.504614210495492</x:v>
      </x:c>
      <x:c r="F10" s="44" t="n">
        <x:v>2.6308405274758115</x:v>
      </x:c>
      <x:c r="G10" s="44" t="n">
        <x:v>9.229112586367414</x:v>
      </x:c>
      <x:c r="H10" s="44" t="n">
        <x:v>13.179864990105848</x:v>
      </x:c>
      <x:c r="I10" s="44" t="n">
        <x:v>30.30511511541788</x:v>
      </x:c>
      <x:c r="J10" s="44" t="n">
        <x:v>32.983961905003525</x:v>
      </x:c>
      <x:c r="K10" s="44" t="n">
        <x:f>C10/D10</x:f>
        <x:v>1.5375153824594419</x:v>
      </x:c>
    </x:row>
    <x:row r="11" ht="22.5" customHeight="1">
      <x:c r="A11" s="43" t="str">
        <x:v>Random 100</x:v>
      </x:c>
      <x:c r="B11" s="43" t="n">
        <x:v>16</x:v>
      </x:c>
      <x:c r="C11" s="43" t="n">
        <x:v>100</x:v>
      </x:c>
      <x:c r="D11" s="44" t="n">
        <x:v>42.50619284296408</x:v>
      </x:c>
      <x:c r="E11" s="44" t="n">
        <x:v>5.360810203920119</x:v>
      </x:c>
      <x:c r="F11" s="44" t="n">
        <x:v>3.198256326955743</x:v>
      </x:c>
      <x:c r="G11" s="44" t="n">
        <x:v>10.958076933014675</x:v>
      </x:c>
      <x:c r="H11" s="44" t="n">
        <x:v>14.538992636615871</x:v>
      </x:c>
      <x:c r="I11" s="44" t="n">
        <x:v>30.509000390296602</x:v>
      </x:c>
      <x:c r="J11" s="44" t="n">
        <x:v>37.092466662987135</x:v>
      </x:c>
      <x:c r="K11" s="44" t="n">
        <x:f>C11/D11</x:f>
        <x:v>2.3525983700643915</x:v>
      </x:c>
    </x:row>
    <x:row r="12" ht="22.5" customHeight="1">
      <x:c r="A12" s="6"/>
      <x:c r="B12" s="6"/>
      <x:c r="C12" s="6"/>
      <x:c r="D12" s="6"/>
      <x:c r="E12" s="6"/>
      <x:c r="F12" s="6"/>
      <x:c r="G12" s="6"/>
      <x:c r="H12" s="6"/>
      <x:c r="I12" s="6"/>
      <x:c r="J12" s="6"/>
      <x:c r="K12" s="6"/>
    </x:row>
    <x:row r="13" ht="22.5" customHeight="1">
      <x:c r="A13" s="6"/>
      <x:c r="B13" s="6"/>
      <x:c r="C13" s="6"/>
      <x:c r="D13" s="6"/>
      <x:c r="E13" s="6"/>
      <x:c r="F13" s="6"/>
      <x:c r="G13" s="6"/>
      <x:c r="H13" s="6"/>
      <x:c r="I13" s="6"/>
      <x:c r="J13" s="6"/>
      <x:c r="K13" s="6"/>
    </x:row>
    <x:row r="14" ht="22.5" customHeight="1">
      <x:c r="A14" s="6"/>
      <x:c r="B14" s="6"/>
      <x:c r="C14" s="6"/>
      <x:c r="D14" s="6"/>
      <x:c r="E14" s="6"/>
      <x:c r="F14" s="6"/>
      <x:c r="G14" s="6"/>
      <x:c r="H14" s="6"/>
      <x:c r="I14" s="6"/>
      <x:c r="J14" s="6"/>
      <x:c r="K14" s="6"/>
    </x:row>
    <x:row r="15" ht="22.5" customHeight="1">
      <x:c r="A15" s="6"/>
      <x:c r="B15" s="6"/>
      <x:c r="C15" s="6"/>
      <x:c r="D15" s="6"/>
      <x:c r="E15" s="6"/>
      <x:c r="F15" s="6"/>
      <x:c r="G15" s="6"/>
      <x:c r="H15" s="6"/>
      <x:c r="I15" s="6"/>
      <x:c r="J15" s="6"/>
      <x:c r="K15" s="6"/>
    </x:row>
  </x:sheetData>
  <x:pageMargins left="0.7" right="0.7" top="0.75" bottom="0.75" header="0.3" footer="0.3"/>
</x:worksheet>
</file>

<file path=xl/worksheets/sheet3.xml><?xml version="1.0" encoding="utf-8"?>
<x:worksheet xmlns:x="http://schemas.openxmlformats.org/spreadsheetml/2006/main">
  <x:sheetViews>
    <x:sheetView showGridLines="0" workbookViewId="0"/>
  </x:sheetViews>
  <x:sheetFormatPr defaultRowHeight="15"/>
  <x:cols>
    <x:col min="1" max="1" width="21.110000610351562" hidden="0" customWidth="1"/>
    <x:col min="2" max="2" width="104.44000244140625" hidden="0" customWidth="1"/>
  </x:cols>
  <x:sheetData>
    <x:row r="1" ht="24" customHeight="1">
      <x:c r="A1" s="53" t="str">
        <x:v>Item</x:v>
      </x:c>
      <x:c r="B1" s="53" t="str">
        <x:v>Source or explanation</x:v>
      </x:c>
    </x:row>
    <x:row r="2" ht="45" customHeight="1">
      <x:c r="A2" s="55" t="str">
        <x:v>Reconstruction</x:v>
      </x:c>
      <x:c r="B2" s="56" t="str">
        <x:v>The earlier temporary workbook is missing. Historical tables were reconstructed from the three supplied screenshots and saved full-precision vLLM records.</x:v>
      </x:c>
    </x:row>
    <x:row r="3" ht="45" customHeight="1">
      <x:c r="A3" s="57" t="str">
        <x:v>Historical custom data</x:v>
      </x:c>
      <x:c r="B3" s="58" t="str">
        <x:v>Values and displayed rounding reproduce the screenshots. The &gt;P90 B8 P95 is retained as 8.345 s; the saved benchmark value was 8.353625551 s.</x:v>
      </x:c>
    </x:row>
    <x:row r="4" ht="45" customHeight="1">
      <x:c r="A4" s="57" t="str">
        <x:v>Historical cohorts</x:v>
      </x:c>
      <x:c r="B4" s="58" t="str">
        <x:v>Hardest 50: original-B1 tail ranks, shuffled with seed 1. All tables: a 100-table sample from all 665, seed 1, not all 665 measured.</x:v>
      </x:c>
    </x:row>
    <x:row r="5" ht="45" customHeight="1">
      <x:c r="A5" s="57" t="str">
        <x:v>Historical vLLM sources</x:v>
      </x:c>
      <x:c r="B5" s="58" t="str">
        <x:v>table_vllm_closed50_shuffle1_c124_95fb6d8c_20260903; table_vllm_random100_seed1_c124_95fb6d8c_20260903; table_vllm_c8_c16_both_9ed4c364_20260903.</x:v>
      </x:c>
    </x:row>
    <x:row r="6" ht="45" customHeight="1">
      <x:c r="A6" s="57" t="str">
        <x:v>Historical configuration</x:v>
      </x:c>
      <x:c r="B6" s="58" t="str">
        <x:v>vLLM-Ascend 0.23.0rc1, FULL_AND_PIECEWISE. Earlier C1/C2/C4 used max-num-seqs 4; C8/C16 used 16.</x:v>
      </x:c>
    </x:row>
    <x:row r="7" ht="45" customHeight="1">
      <x:c r="A7" s="57" t="str">
        <x:v>Historical output limits</x:v>
      </x:c>
      <x:c r="B7" s="58" t="str">
        <x:v>Hardest 50 had eight context-limit stops per lane; random 100 completed normally. Those historical measurements are preserved, not presented as a new quality validation.</x:v>
      </x:c>
    </x:row>
    <x:row r="8" ht="45" customHeight="1">
      <x:c r="A8" s="57" t="str">
        <x:v>Speedup formulas</x:v>
      </x:c>
      <x:c r="B8" s="58" t="str">
        <x:v>Ratios use the photo-displayed, rounded values for both engines. Mean and P95 = vLLM / custom; QPS = custom / vLLM. Values above 1× favor custom. Full-precision vLLM measurements remain in the data tab.</x:v>
      </x:c>
    </x:row>
    <x:row r="9" ht="71.25" customHeight="1">
      <x:c r="A9" s="57" t="str">
        <x:v>New comparison</x:v>
      </x:c>
      <x:c r="B9" s="58" t="str">
        <x:v>Current sweep: table_optimized_c1_to_c7_9f6e486d_20260906, each lane's measured summary. B2 uses the new reconfirmation (highest P95 of three). B5: table_packed_noevents_b5c5_b0f1cac7_20260906/validation1000_a (higher P95 of two). Same seed-3 sequence. B8/C7 and B8/C8 share a warmed server, with a separate complete-request warmup before each run.</x:v>
      </x:c>
    </x:row>
    <x:row r="10" ht="45" customHeight="1">
      <x:c r="A10" s="59" t="str">
        <x:v>Timing scope</x:v>
      </x:c>
      <x:c r="B10" s="60" t="str">
        <x:v>Queueing, image decoding, CPU preparation, vision/text prefill, decode, control and postprocessing remain in latency. Overlapping work is not subtracted. QPS includes initial filling and final draining.</x:v>
      </x:c>
    </x:row>
    <x:row r="11" ht="45" customHeight="1">
      <x:c r="A11" s="51"/>
      <x:c r="B11" s="51"/>
    </x:row>
    <x:row r="12" ht="45" customHeight="1">
      <x:c r="A12" s="51"/>
      <x:c r="B12" s="51"/>
    </x:row>
  </x:sheetData>
  <x:pageMargins left="0.7" right="0.7" top="0.75" bottom="0.75" header="0.3" footer="0.3"/>
</x:worksheet>
</file>