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ca2617004a42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tency comparison" sheetId="1" r:id="R6ea8687f66514774"/>
    <x:sheet xmlns:r="http://schemas.openxmlformats.org/officeDocument/2006/relationships" name="vLLM data" sheetId="2" r:id="R52c2860c5c044a6a"/>
    <x:sheet xmlns:r="http://schemas.openxmlformats.org/officeDocument/2006/relationships" name="Sources and notes" sheetId="3" r:id="R437b35c8d17e4d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###"/>
    <x:numFmt numFmtId="201" formatCode="0.000000"/>
    <x:numFmt numFmtId="202" formatCode="0.00&quot;×&quot;"/>
    <x:numFmt numFmtId="203" formatCode="0.000"/>
    <x:numFmt numFmtId="204" formatCode="#,##0"/>
    <x:numFmt numFmtId="205" formatCode="0.0"/>
    <x:numFmt numFmtId="206" formatCode="0"/>
    <x:numFmt numFmtId="207" formatCode="#,##0.0"/>
    <x:numFmt numFmtId="208" formatCode="General"/>
  </x:numFmts>
  <x:fonts count="17">
    <x:font>
      <x:sz val="11"/>
      <x:name val="Carlito"/>
    </x:font>
    <x:font>
      <x:sz val="11"/>
      <x:color rgb="FF20231F"/>
      <x:name val="Arial"/>
    </x:font>
    <x:font>
      <x:b/>
      <x:sz val="11"/>
      <x:color rgb="FF697265"/>
      <x:name val="Arial"/>
    </x:font>
    <x:font>
      <x:sz val="10"/>
      <x:color rgb="FF697265"/>
      <x:name val="Arial"/>
    </x:font>
    <x:font>
      <x:sz val="11"/>
      <x:name val="Arial"/>
    </x:font>
    <x:font>
      <x:b/>
      <x:sz val="11"/>
      <x:name val="Arial"/>
    </x:font>
    <x:font>
      <x:b/>
      <x:sz val="18"/>
      <x:color rgb="FF20231F"/>
      <x:name val="Arial"/>
    </x:font>
    <x:font>
      <x:b/>
      <x:sz val="11"/>
      <x:color rgb="FF20231F"/>
      <x:name val="Arial"/>
    </x:font>
    <x:font>
      <x:sz val="10"/>
      <x:color rgb="FF64705F"/>
      <x:name val="Arial"/>
    </x:font>
    <x:font>
      <x:sz val="11"/>
      <x:color rgb="FF64705F"/>
      <x:name val="Arial"/>
    </x:font>
    <x:font>
      <x:b/>
      <x:sz val="15"/>
      <x:color rgb="FF173A17"/>
      <x:name val="Arial"/>
    </x:font>
    <x:font>
      <x:b/>
      <x:sz val="11"/>
      <x:color rgb="FF182817"/>
      <x:name val="Arial"/>
    </x:font>
    <x:font>
      <x:sz val="11"/>
      <x:color rgb="FF182817"/>
      <x:name val="Arial"/>
    </x:font>
    <x:font>
      <x:sz val="10"/>
      <x:color rgb="FF4A5546"/>
      <x:name val="Arial"/>
    </x:font>
    <x:font>
      <x:sz val="10"/>
      <x:color rgb="FF253322"/>
      <x:name val="Arial"/>
    </x:font>
    <x:font>
      <x:b/>
      <x:sz val="10"/>
      <x:name val="Arial"/>
    </x:font>
    <x:font>
      <x:sz val="10"/>
      <x:name val="Arial"/>
    </x:font>
  </x:fonts>
  <x:fills count="21">
    <x:fill>
      <x:patternFill patternType="none"/>
    </x:fill>
    <x:fill>
      <x:patternFill patternType="gray125"/>
    </x:fill>
    <x:fill>
      <x:patternFill patternType="solid">
        <x:fgColor rgb="FFD9E2D2"/>
      </x:patternFill>
    </x:fill>
    <x:fill>
      <x:patternFill patternType="solid">
        <x:fgColor rgb="FFE8B13E"/>
      </x:patternFill>
    </x:fill>
    <x:fill>
      <x:patternFill patternType="solid">
        <x:fgColor rgb="FFFFF2CC"/>
      </x:patternFill>
    </x:fill>
    <x:fill>
      <x:patternFill patternType="solid">
        <x:fgColor rgb="FF92C96F"/>
      </x:patternFill>
    </x:fill>
    <x:fill>
      <x:patternFill patternType="solid">
        <x:fgColor rgb="FFE2EFDA"/>
      </x:patternFill>
    </x:fill>
    <x:fill>
      <x:patternFill patternType="solid">
        <x:fgColor rgb="FFE2EFDA"/>
      </x:patternFill>
    </x:fill>
    <x:fill>
      <x:patternFill patternType="solid">
        <x:fgColor rgb="FFE2EFDA"/>
      </x:patternFill>
    </x:fill>
    <x:fill>
      <x:patternFill patternType="solid">
        <x:fgColor rgb="FF93C47D"/>
      </x:patternFill>
    </x:fill>
    <x:fill>
      <x:patternFill patternType="solid">
        <x:fgColor rgb="FFDFEAD8"/>
      </x:patternFill>
    </x:fill>
    <x:fill>
      <x:patternFill patternType="solid">
        <x:fgColor rgb="FFF1F6ED"/>
      </x:patternFill>
    </x:fill>
    <x:fill>
      <x:patternFill patternType="solid">
        <x:fgColor rgb="FFE6EFDF"/>
      </x:patternFill>
    </x:fill>
    <x:fill>
      <x:patternFill patternType="solid">
        <x:fgColor rgb="FFE8B13E"/>
      </x:patternFill>
    </x:fill>
    <x:fill>
      <x:patternFill patternType="solid">
        <x:fgColor rgb="FFFFF2CC"/>
      </x:patternFill>
    </x:fill>
    <x:fill>
      <x:patternFill patternType="solid">
        <x:fgColor rgb="FF92C96F"/>
      </x:patternFill>
    </x:fill>
    <x:fill>
      <x:patternFill patternType="solid">
        <x:fgColor rgb="FFE2EFDA"/>
      </x:patternFill>
    </x:fill>
    <x:fill>
      <x:patternFill patternType="solid">
        <x:fgColor rgb="FF93C47D"/>
      </x:patternFill>
    </x:fill>
    <x:fill>
      <x:patternFill patternType="solid">
        <x:fgColor rgb="FFDFEAD8"/>
      </x:patternFill>
    </x:fill>
    <x:fill>
      <x:patternFill patternType="solid">
        <x:fgColor rgb="FFF1F6ED"/>
      </x:patternFill>
    </x:fill>
    <x:fill>
      <x:patternFill patternType="solid">
        <x:fgColor rgb="FFE6EFDF"/>
      </x:patternFill>
    </x:fill>
  </x:fills>
  <x:borders count="13">
    <x:border/>
    <x:border>
      <x:left style="thin">
        <x:color rgb="FF61615B"/>
      </x:left>
      <x:right style="thin">
        <x:color rgb="FF61615B"/>
      </x:right>
      <x:top style="thin">
        <x:color rgb="FF61615B"/>
      </x:top>
      <x:bottom style="thin">
        <x:color rgb="FF61615B"/>
      </x:bottom>
    </x:border>
    <x:border>
      <x:left style="thin">
        <x:color rgb="FF61615B"/>
      </x:left>
      <x:top style="thin">
        <x:color rgb="FF61615B"/>
      </x:top>
      <x:bottom style="thin">
        <x:color rgb="FF61615B"/>
      </x:bottom>
    </x:border>
    <x:border>
      <x:top style="thin">
        <x:color rgb="FF61615B"/>
      </x:top>
      <x:bottom style="thin">
        <x:color rgb="FF61615B"/>
      </x:bottom>
    </x:border>
    <x:border>
      <x:right style="thin">
        <x:color rgb="FF61615B"/>
      </x:right>
      <x:top style="thin">
        <x:color rgb="FF61615B"/>
      </x:top>
      <x:bottom style="thin">
        <x:color rgb="FF61615B"/>
      </x:bottom>
    </x:border>
    <x:border>
      <x:right style="thin">
        <x:color rgb="FFD9DFD4"/>
      </x:right>
      <x:bottom style="thin">
        <x:color rgb="FFD9DFD4"/>
      </x:bottom>
    </x:border>
    <x:border>
      <x:left style="thin">
        <x:color rgb="FFD9DFD4"/>
      </x:left>
      <x:bottom style="thin">
        <x:color rgb="FFD9DFD4"/>
      </x:bottom>
    </x:border>
    <x:border>
      <x:right style="thin">
        <x:color rgb="FFD9DFD4"/>
      </x:right>
      <x:top style="thin">
        <x:color rgb="FFD9DFD4"/>
      </x:top>
      <x:bottom style="thin">
        <x:color rgb="FFD9DFD4"/>
      </x:bottom>
    </x:border>
    <x:border>
      <x:left style="thin">
        <x:color rgb="FFD9DFD4"/>
      </x:left>
      <x:top style="thin">
        <x:color rgb="FFD9DFD4"/>
      </x:top>
      <x:bottom style="thin">
        <x:color rgb="FFD9DFD4"/>
      </x:bottom>
    </x:border>
    <x:border>
      <x:right style="thin">
        <x:color rgb="FFD9DFD4"/>
      </x:right>
      <x:top style="thin">
        <x:color rgb="FFD9DFD4"/>
      </x:top>
    </x:border>
    <x:border>
      <x:left style="thin">
        <x:color rgb="FFD9DFD4"/>
      </x:left>
      <x:top style="thin">
        <x:color rgb="FFD9DFD4"/>
      </x:top>
    </x:border>
    <x:border>
      <x:left style="thin">
        <x:color rgb="FF7A8774"/>
      </x:left>
      <x:right style="thin">
        <x:color rgb="FF7A8774"/>
      </x:right>
      <x:top style="thin">
        <x:color rgb="FF7A8774"/>
      </x:top>
      <x:bottom style="thin">
        <x:color rgb="FF7A8774"/>
      </x:bottom>
    </x:border>
    <x:border>
      <x:left style="thin">
        <x:color rgb="FFB7C4AD"/>
      </x:left>
      <x:right style="thin">
        <x:color rgb="FFB7C4AD"/>
      </x:right>
      <x:top style="thin">
        <x:color rgb="FFB7C4AD"/>
      </x:top>
      <x:bottom style="thin">
        <x:color rgb="FFB7C4AD"/>
      </x:bottom>
    </x:border>
  </x:borders>
  <x:cellStyleXfs count="1">
    <x:xf numFmtId="0" fontId="0" fillId="0" borderId="0"/>
  </x:cellStyleXfs>
  <x:cellXfs count="25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2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horizontal="right" vertical="center"/>
    </x:xf>
    <x:xf numFmtId="0" fontId="1" fillId="4" borderId="1" xfId="0" applyNumberFormat="1" applyFont="1" applyFill="1" applyBorder="1" applyAlignment="1">
      <x:alignment horizontal="right" vertical="center"/>
    </x:xf>
    <x:xf numFmtId="200" fontId="1" fillId="4" borderId="1" xfId="0" applyNumberFormat="1" applyFont="1" applyFill="1" applyBorder="1" applyAlignment="1">
      <x:alignment horizontal="right" vertical="center"/>
    </x:xf>
    <x:xf numFmtId="200" fontId="7" fillId="4" borderId="1" xfId="0" applyNumberFormat="1" applyFont="1" applyFill="1" applyBorder="1" applyAlignment="1">
      <x:alignment horizontal="right"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201" fontId="4" fillId="4" borderId="1" xfId="0" applyNumberFormat="1" applyFont="1" applyFill="1" applyBorder="1" applyAlignment="1">
      <x:alignment vertical="center"/>
    </x:xf>
    <x:xf numFmtId="202" fontId="1" fillId="4" borderId="1" xfId="0" applyNumberFormat="1" applyFont="1" applyFill="1" applyBorder="1" applyAlignment="1">
      <x:alignment vertical="center"/>
    </x:xf>
    <x:xf numFmtId="202" fontId="7" fillId="4" borderId="1" xfId="0" applyNumberFormat="1" applyFont="1" applyFill="1" applyBorder="1" applyAlignment="1">
      <x:alignment vertical="center"/>
    </x:xf>
    <x:xf numFmtId="202" fontId="7" fillId="4" borderId="1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/>
    </x:xf>
    <x:xf numFmtId="0" fontId="6" fillId="5" borderId="3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/>
    </x:xf>
    <x:xf numFmtId="0" fontId="7" fillId="6" borderId="1" xfId="0" applyNumberFormat="1" applyFont="1" applyFill="1" applyBorder="1" applyAlignment="1">
      <x:alignment vertical="center"/>
    </x:xf>
    <x:xf numFmtId="0" fontId="7" fillId="6" borderId="1" xfId="0" applyNumberFormat="1" applyFont="1" applyFill="1" applyBorder="1" applyAlignment="1">
      <x:alignment horizontal="right" vertical="center"/>
    </x:xf>
    <x:xf numFmtId="0" fontId="1" fillId="6" borderId="1" xfId="0" applyNumberFormat="1" applyFont="1" applyFill="1" applyBorder="1" applyAlignment="1">
      <x:alignment horizontal="right" vertical="center"/>
    </x:xf>
    <x:xf numFmtId="200" fontId="1" fillId="6" borderId="1" xfId="0" applyNumberFormat="1" applyFont="1" applyFill="1" applyBorder="1" applyAlignment="1">
      <x:alignment horizontal="right" vertical="center"/>
    </x:xf>
    <x:xf numFmtId="200" fontId="7" fillId="6" borderId="1" xfId="0" applyNumberFormat="1" applyFont="1" applyFill="1" applyBorder="1" applyAlignment="1">
      <x:alignment horizontal="right"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201" fontId="4" fillId="6" borderId="1" xfId="0" applyNumberFormat="1" applyFont="1" applyFill="1" applyBorder="1" applyAlignment="1">
      <x:alignment vertical="center"/>
    </x:xf>
    <x:xf numFmtId="202" fontId="1" fillId="6" borderId="1" xfId="0" applyNumberFormat="1" applyFont="1" applyFill="1" applyBorder="1" applyAlignment="1">
      <x:alignment vertical="center"/>
    </x:xf>
    <x:xf numFmtId="202" fontId="7" fillId="6" borderId="1" xfId="0" applyNumberFormat="1" applyFont="1" applyFill="1" applyBorder="1" applyAlignment="1">
      <x:alignment vertical="center"/>
    </x:xf>
    <x:xf numFmtId="202" fontId="7" fillId="6" borderId="1" xfId="0" applyNumberFormat="1" applyFont="1" applyFill="1" applyBorder="1" applyAlignment="1">
      <x:alignment horizontal="right"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vertical="center"/>
    </x:xf>
    <x:xf numFmtId="200" fontId="1" fillId="7" borderId="1" xfId="0" applyNumberFormat="1" applyFont="1" applyFill="1" applyBorder="1" applyAlignment="1">
      <x:alignment vertical="center"/>
    </x:xf>
    <x:xf numFmtId="200" fontId="1" fillId="7" borderId="1" xfId="0" applyNumberFormat="1" applyFont="1" applyFill="1" applyBorder="1" applyAlignment="1">
      <x:alignment horizontal="right" vertical="center"/>
    </x:xf>
    <x:xf numFmtId="200" fontId="7" fillId="7" borderId="1" xfId="0" applyNumberFormat="1" applyFont="1" applyFill="1" applyBorder="1" applyAlignment="1">
      <x:alignment horizontal="right" vertical="center"/>
    </x:xf>
    <x:xf numFmtId="0" fontId="1" fillId="8" borderId="0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/>
    </x:xf>
    <x:xf numFmtId="200" fontId="1" fillId="8" borderId="1" xfId="0" applyNumberFormat="1" applyFont="1" applyFill="1" applyBorder="1" applyAlignment="1">
      <x:alignment vertical="center"/>
    </x:xf>
    <x:xf numFmtId="200" fontId="1" fillId="8" borderId="1" xfId="0" applyNumberFormat="1" applyFont="1" applyFill="1" applyBorder="1" applyAlignment="1">
      <x:alignment horizontal="right" vertical="center"/>
    </x:xf>
    <x:xf numFmtId="200" fontId="7" fillId="8" borderId="1" xfId="0" applyNumberFormat="1" applyFont="1" applyFill="1" applyBorder="1" applyAlignment="1">
      <x:alignment horizontal="right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horizontal="center" wrapText="1"/>
    </x:xf>
    <x:xf numFmtId="0" fontId="11" fillId="10" borderId="0" xfId="0" applyNumberFormat="1" applyFont="1" applyFill="1" applyBorder="1" applyAlignment="1">
      <x:alignment horizontal="center" vertical="center" wrapText="1"/>
    </x:xf>
    <x:xf numFmtId="0" fontId="11" fillId="10" borderId="11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0" fontId="12" fillId="11" borderId="0" xfId="0" applyNumberFormat="1" applyFont="1" applyFill="1" applyBorder="1"/>
    <x:xf numFmtId="0" fontId="12" fillId="11" borderId="12" xfId="0" applyNumberFormat="1" applyFont="1" applyFill="1" applyBorder="1"/>
    <x:xf numFmtId="0" fontId="12" fillId="11" borderId="12" xfId="0" applyNumberFormat="1" applyFont="1" applyFill="1" applyBorder="1" applyAlignment="1">
      <x:alignment horizontal="right"/>
    </x:xf>
    <x:xf numFmtId="0" fontId="12" fillId="11" borderId="12" xfId="0" applyNumberFormat="1" applyFont="1" applyFill="1" applyBorder="1" applyAlignment="1">
      <x:alignment horizontal="right" vertical="center"/>
    </x:xf>
    <x:xf numFmtId="0" fontId="12" fillId="11" borderId="12" xfId="0" applyNumberFormat="1" applyFont="1" applyFill="1" applyBorder="1" applyAlignment="1">
      <x:alignment horizontal="left" vertical="center"/>
    </x:xf>
    <x:xf numFmtId="203" fontId="12" fillId="11" borderId="12" xfId="0" applyNumberFormat="1" applyFont="1" applyFill="1" applyBorder="1" applyAlignment="1">
      <x:alignment horizontal="right" vertical="center"/>
    </x:xf>
    <x:xf numFmtId="204" fontId="12" fillId="11" borderId="12" xfId="0" applyNumberFormat="1" applyFont="1" applyFill="1" applyBorder="1" applyAlignment="1">
      <x:alignment horizontal="right" vertical="center"/>
    </x:xf>
    <x:xf numFmtId="205" fontId="12" fillId="11" borderId="12" xfId="0" applyNumberFormat="1" applyFont="1" applyFill="1" applyBorder="1" applyAlignment="1">
      <x:alignment horizontal="right" vertical="center"/>
    </x:xf>
    <x:xf numFmtId="206" fontId="12" fillId="11" borderId="12" xfId="0" applyNumberFormat="1" applyFont="1" applyFill="1" applyBorder="1" applyAlignment="1">
      <x:alignment horizontal="right" vertical="center"/>
    </x:xf>
    <x:xf numFmtId="207" fontId="12" fillId="11" borderId="12" xfId="0" applyNumberFormat="1" applyFont="1" applyFill="1" applyBorder="1" applyAlignment="1">
      <x:alignment horizontal="right" vertical="center"/>
    </x:xf>
    <x:xf numFmtId="203" fontId="11" fillId="11" borderId="12" xfId="0" applyNumberFormat="1" applyFont="1" applyFill="1" applyBorder="1" applyAlignment="1">
      <x:alignment horizontal="right" vertical="center"/>
    </x:xf>
    <x:xf numFmtId="206" fontId="11" fillId="11" borderId="12" xfId="0" applyNumberFormat="1" applyFont="1" applyFill="1" applyBorder="1" applyAlignment="1">
      <x:alignment horizontal="right" vertical="center"/>
    </x:xf>
    <x:xf numFmtId="0" fontId="12" fillId="12" borderId="0" xfId="0" applyNumberFormat="1" applyFont="1" applyFill="1" applyBorder="1"/>
    <x:xf numFmtId="0" fontId="12" fillId="12" borderId="12" xfId="0" applyNumberFormat="1" applyFont="1" applyFill="1" applyBorder="1"/>
    <x:xf numFmtId="0" fontId="12" fillId="12" borderId="12" xfId="0" applyNumberFormat="1" applyFont="1" applyFill="1" applyBorder="1" applyAlignment="1">
      <x:alignment horizontal="right"/>
    </x:xf>
    <x:xf numFmtId="0" fontId="12" fillId="12" borderId="12" xfId="0" applyNumberFormat="1" applyFont="1" applyFill="1" applyBorder="1" applyAlignment="1">
      <x:alignment horizontal="right" vertical="center"/>
    </x:xf>
    <x:xf numFmtId="0" fontId="12" fillId="12" borderId="12" xfId="0" applyNumberFormat="1" applyFont="1" applyFill="1" applyBorder="1" applyAlignment="1">
      <x:alignment horizontal="left" vertical="center"/>
    </x:xf>
    <x:xf numFmtId="203" fontId="12" fillId="12" borderId="12" xfId="0" applyNumberFormat="1" applyFont="1" applyFill="1" applyBorder="1" applyAlignment="1">
      <x:alignment horizontal="right" vertical="center"/>
    </x:xf>
    <x:xf numFmtId="204" fontId="12" fillId="12" borderId="12" xfId="0" applyNumberFormat="1" applyFont="1" applyFill="1" applyBorder="1" applyAlignment="1">
      <x:alignment horizontal="right" vertical="center"/>
    </x:xf>
    <x:xf numFmtId="205" fontId="12" fillId="12" borderId="12" xfId="0" applyNumberFormat="1" applyFont="1" applyFill="1" applyBorder="1" applyAlignment="1">
      <x:alignment horizontal="right" vertical="center"/>
    </x:xf>
    <x:xf numFmtId="206" fontId="12" fillId="12" borderId="12" xfId="0" applyNumberFormat="1" applyFont="1" applyFill="1" applyBorder="1" applyAlignment="1">
      <x:alignment horizontal="right" vertical="center"/>
    </x:xf>
    <x:xf numFmtId="207" fontId="12" fillId="12" borderId="12" xfId="0" applyNumberFormat="1" applyFont="1" applyFill="1" applyBorder="1" applyAlignment="1">
      <x:alignment horizontal="right" vertical="center"/>
    </x:xf>
    <x:xf numFmtId="203" fontId="11" fillId="12" borderId="12" xfId="0" applyNumberFormat="1" applyFont="1" applyFill="1" applyBorder="1" applyAlignment="1">
      <x:alignment horizontal="right" vertical="center"/>
    </x:xf>
    <x:xf numFmtId="206" fontId="11" fillId="12" borderId="12" xfId="0" applyNumberFormat="1" applyFont="1" applyFill="1" applyBorder="1" applyAlignment="1">
      <x:alignment horizontal="right" vertic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208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center" wrapText="0"/>
    </x:xf>
    <x:xf numFmtId="208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 applyAlignment="1">
      <x:alignment vertical="center" wrapText="0"/>
    </x:xf>
    <x:xf numFmtId="208" fontId="3" fillId="0" borderId="0" xfId="0" applyNumberFormat="1" applyFont="1" applyFill="1" applyBorder="1" applyAlignment="1">
      <x:alignment vertical="center" wrapText="0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2" xfId="0" applyNumberFormat="1" applyFont="1" applyFill="1" applyBorder="1"/>
    <x:xf numFmtId="0" fontId="6" fillId="13" borderId="2" xfId="0" applyNumberFormat="1" applyFont="1" applyFill="1" applyBorder="1" applyAlignment="1">
      <x:alignment wrapText="0"/>
    </x:xf>
    <x:xf numFmtId="0" fontId="6" fillId="13" borderId="2" xfId="0" applyNumberFormat="1" applyFont="1" applyFill="1" applyBorder="1" applyAlignment="1">
      <x:alignment vertical="center" wrapText="0"/>
    </x:xf>
    <x:xf numFmtId="208" fontId="6" fillId="13" borderId="2" xfId="0" applyNumberFormat="1" applyFont="1" applyFill="1" applyBorder="1" applyAlignment="1">
      <x:alignment vertical="center" wrapText="0"/>
    </x:xf>
    <x:xf numFmtId="0" fontId="6" fillId="13" borderId="3" xfId="0" applyNumberFormat="1" applyFont="1" applyFill="1" applyBorder="1"/>
    <x:xf numFmtId="0" fontId="6" fillId="13" borderId="3" xfId="0" applyNumberFormat="1" applyFont="1" applyFill="1" applyBorder="1" applyAlignment="1">
      <x:alignment wrapText="0"/>
    </x:xf>
    <x:xf numFmtId="0" fontId="6" fillId="13" borderId="3" xfId="0" applyNumberFormat="1" applyFont="1" applyFill="1" applyBorder="1" applyAlignment="1">
      <x:alignment vertical="center" wrapText="0"/>
    </x:xf>
    <x:xf numFmtId="208" fontId="6" fillId="13" borderId="3" xfId="0" applyNumberFormat="1" applyFont="1" applyFill="1" applyBorder="1" applyAlignment="1">
      <x:alignment vertical="center" wrapText="0"/>
    </x:xf>
    <x:xf numFmtId="0" fontId="6" fillId="13" borderId="4" xfId="0" applyNumberFormat="1" applyFont="1" applyFill="1" applyBorder="1"/>
    <x:xf numFmtId="0" fontId="6" fillId="13" borderId="4" xfId="0" applyNumberFormat="1" applyFont="1" applyFill="1" applyBorder="1" applyAlignment="1">
      <x:alignment wrapText="0"/>
    </x:xf>
    <x:xf numFmtId="0" fontId="6" fillId="13" borderId="4" xfId="0" applyNumberFormat="1" applyFont="1" applyFill="1" applyBorder="1" applyAlignment="1">
      <x:alignment vertical="center" wrapText="0"/>
    </x:xf>
    <x:xf numFmtId="208" fontId="6" fillId="13" borderId="4" xfId="0" applyNumberFormat="1" applyFont="1" applyFill="1" applyBorder="1" applyAlignment="1">
      <x:alignment vertical="center" wrapText="0"/>
    </x:xf>
    <x:xf numFmtId="0" fontId="0" fillId="14" borderId="0" xfId="0" applyNumberFormat="1" applyFont="1" applyFill="1" applyBorder="1"/>
    <x:xf numFmtId="0" fontId="7" fillId="14" borderId="0" xfId="0" applyNumberFormat="1" applyFont="1" applyFill="1" applyBorder="1"/>
    <x:xf numFmtId="0" fontId="7" fillId="14" borderId="1" xfId="0" applyNumberFormat="1" applyFont="1" applyFill="1" applyBorder="1"/>
    <x:xf numFmtId="0" fontId="7" fillId="14" borderId="1" xfId="0" applyNumberFormat="1" applyFont="1" applyFill="1" applyBorder="1" applyAlignment="1">
      <x:alignment wrapText="0"/>
    </x:xf>
    <x:xf numFmtId="0" fontId="7" fillId="14" borderId="1" xfId="0" applyNumberFormat="1" applyFont="1" applyFill="1" applyBorder="1" applyAlignment="1">
      <x:alignment vertical="center" wrapText="0"/>
    </x:xf>
    <x:xf numFmtId="208" fontId="7" fillId="14" borderId="1" xfId="0" applyNumberFormat="1" applyFont="1" applyFill="1" applyBorder="1" applyAlignment="1">
      <x:alignment vertical="center" wrapText="0"/>
    </x:xf>
    <x:xf numFmtId="0" fontId="7" fillId="14" borderId="1" xfId="0" applyNumberFormat="1" applyFont="1" applyFill="1" applyBorder="1" applyAlignment="1">
      <x:alignment horizontal="right" wrapText="0"/>
    </x:xf>
    <x:xf numFmtId="0" fontId="7" fillId="14" borderId="1" xfId="0" applyNumberFormat="1" applyFont="1" applyFill="1" applyBorder="1" applyAlignment="1">
      <x:alignment horizontal="right" vertical="center" wrapText="0"/>
    </x:xf>
    <x:xf numFmtId="208" fontId="7" fillId="14" borderId="1" xfId="0" applyNumberFormat="1" applyFont="1" applyFill="1" applyBorder="1" applyAlignment="1">
      <x:alignment horizontal="right" vertical="center" wrapText="0"/>
    </x:xf>
    <x:xf numFmtId="0" fontId="1" fillId="14" borderId="0" xfId="0" applyNumberFormat="1" applyFont="1" applyFill="1" applyBorder="1"/>
    <x:xf numFmtId="0" fontId="1" fillId="14" borderId="1" xfId="0" applyNumberFormat="1" applyFont="1" applyFill="1" applyBorder="1"/>
    <x:xf numFmtId="0" fontId="1" fillId="14" borderId="1" xfId="0" applyNumberFormat="1" applyFont="1" applyFill="1" applyBorder="1" applyAlignment="1">
      <x:alignment wrapText="0"/>
    </x:xf>
    <x:xf numFmtId="0" fontId="1" fillId="14" borderId="1" xfId="0" applyNumberFormat="1" applyFont="1" applyFill="1" applyBorder="1" applyAlignment="1">
      <x:alignment vertical="center" wrapText="0"/>
    </x:xf>
    <x:xf numFmtId="208" fontId="1" fillId="14" borderId="1" xfId="0" applyNumberFormat="1" applyFont="1" applyFill="1" applyBorder="1" applyAlignment="1">
      <x:alignment vertical="center" wrapText="0"/>
    </x:xf>
    <x:xf numFmtId="0" fontId="1" fillId="14" borderId="1" xfId="0" applyNumberFormat="1" applyFont="1" applyFill="1" applyBorder="1" applyAlignment="1">
      <x:alignment horizontal="right" wrapText="0"/>
    </x:xf>
    <x:xf numFmtId="0" fontId="1" fillId="14" borderId="1" xfId="0" applyNumberFormat="1" applyFont="1" applyFill="1" applyBorder="1" applyAlignment="1">
      <x:alignment horizontal="right" vertical="center" wrapText="0"/>
    </x:xf>
    <x:xf numFmtId="200" fontId="1" fillId="14" borderId="1" xfId="0" applyNumberFormat="1" applyFont="1" applyFill="1" applyBorder="1" applyAlignment="1">
      <x:alignment horizontal="right" vertical="center" wrapText="0"/>
    </x:xf>
    <x:xf numFmtId="200" fontId="7" fillId="14" borderId="1" xfId="0" applyNumberFormat="1" applyFont="1" applyFill="1" applyBorder="1" applyAlignment="1">
      <x:alignment horizontal="right" vertical="center" wrapText="0"/>
    </x:xf>
    <x:xf numFmtId="202" fontId="7" fillId="14" borderId="1" xfId="0" applyNumberFormat="1" applyFont="1" applyFill="1" applyBorder="1" applyAlignment="1">
      <x:alignment horizontal="right" vertical="center" wrapText="0"/>
    </x:xf>
    <x:xf numFmtId="0" fontId="8" fillId="0" borderId="0" xfId="0" applyNumberFormat="1" applyFont="1" applyFill="1" applyBorder="1" applyAlignment="1">
      <x:alignment wrapText="0"/>
    </x:xf>
    <x:xf numFmtId="0" fontId="8" fillId="0" borderId="0" xfId="0" applyNumberFormat="1" applyFont="1" applyFill="1" applyBorder="1" applyAlignment="1">
      <x:alignment vertical="center" wrapText="0"/>
    </x:xf>
    <x:xf numFmtId="208" fontId="8" fillId="0" borderId="0" xfId="0" applyNumberFormat="1" applyFont="1" applyFill="1" applyBorder="1" applyAlignment="1">
      <x:alignment vertical="center" wrapText="0"/>
    </x:xf>
    <x:xf numFmtId="208" fontId="8" fillId="0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6" fillId="15" borderId="0" xfId="0" applyNumberFormat="1" applyFont="1" applyFill="1" applyBorder="1"/>
    <x:xf numFmtId="0" fontId="6" fillId="15" borderId="2" xfId="0" applyNumberFormat="1" applyFont="1" applyFill="1" applyBorder="1"/>
    <x:xf numFmtId="0" fontId="6" fillId="15" borderId="2" xfId="0" applyNumberFormat="1" applyFont="1" applyFill="1" applyBorder="1" applyAlignment="1">
      <x:alignment wrapText="0"/>
    </x:xf>
    <x:xf numFmtId="0" fontId="6" fillId="15" borderId="2" xfId="0" applyNumberFormat="1" applyFont="1" applyFill="1" applyBorder="1" applyAlignment="1">
      <x:alignment vertical="center" wrapText="0"/>
    </x:xf>
    <x:xf numFmtId="208" fontId="6" fillId="15" borderId="2" xfId="0" applyNumberFormat="1" applyFont="1" applyFill="1" applyBorder="1" applyAlignment="1">
      <x:alignment vertical="center" wrapText="0"/>
    </x:xf>
    <x:xf numFmtId="0" fontId="6" fillId="15" borderId="3" xfId="0" applyNumberFormat="1" applyFont="1" applyFill="1" applyBorder="1"/>
    <x:xf numFmtId="0" fontId="6" fillId="15" borderId="3" xfId="0" applyNumberFormat="1" applyFont="1" applyFill="1" applyBorder="1" applyAlignment="1">
      <x:alignment wrapText="0"/>
    </x:xf>
    <x:xf numFmtId="0" fontId="6" fillId="15" borderId="3" xfId="0" applyNumberFormat="1" applyFont="1" applyFill="1" applyBorder="1" applyAlignment="1">
      <x:alignment vertical="center" wrapText="0"/>
    </x:xf>
    <x:xf numFmtId="208" fontId="6" fillId="15" borderId="3" xfId="0" applyNumberFormat="1" applyFont="1" applyFill="1" applyBorder="1" applyAlignment="1">
      <x:alignment vertical="center" wrapText="0"/>
    </x:xf>
    <x:xf numFmtId="0" fontId="6" fillId="15" borderId="4" xfId="0" applyNumberFormat="1" applyFont="1" applyFill="1" applyBorder="1"/>
    <x:xf numFmtId="0" fontId="6" fillId="15" borderId="4" xfId="0" applyNumberFormat="1" applyFont="1" applyFill="1" applyBorder="1" applyAlignment="1">
      <x:alignment wrapText="0"/>
    </x:xf>
    <x:xf numFmtId="0" fontId="6" fillId="15" borderId="4" xfId="0" applyNumberFormat="1" applyFont="1" applyFill="1" applyBorder="1" applyAlignment="1">
      <x:alignment vertical="center" wrapText="0"/>
    </x:xf>
    <x:xf numFmtId="208" fontId="6" fillId="15" borderId="4" xfId="0" applyNumberFormat="1" applyFont="1" applyFill="1" applyBorder="1" applyAlignment="1">
      <x:alignment vertical="center" wrapText="0"/>
    </x:xf>
    <x:xf numFmtId="0" fontId="0" fillId="16" borderId="0" xfId="0" applyNumberFormat="1" applyFont="1" applyFill="1" applyBorder="1"/>
    <x:xf numFmtId="0" fontId="7" fillId="16" borderId="0" xfId="0" applyNumberFormat="1" applyFont="1" applyFill="1" applyBorder="1"/>
    <x:xf numFmtId="0" fontId="7" fillId="16" borderId="1" xfId="0" applyNumberFormat="1" applyFont="1" applyFill="1" applyBorder="1"/>
    <x:xf numFmtId="0" fontId="7" fillId="16" borderId="1" xfId="0" applyNumberFormat="1" applyFont="1" applyFill="1" applyBorder="1" applyAlignment="1">
      <x:alignment wrapText="0"/>
    </x:xf>
    <x:xf numFmtId="0" fontId="7" fillId="16" borderId="1" xfId="0" applyNumberFormat="1" applyFont="1" applyFill="1" applyBorder="1" applyAlignment="1">
      <x:alignment vertical="center" wrapText="0"/>
    </x:xf>
    <x:xf numFmtId="208" fontId="7" fillId="16" borderId="1" xfId="0" applyNumberFormat="1" applyFont="1" applyFill="1" applyBorder="1" applyAlignment="1">
      <x:alignment vertical="center" wrapText="0"/>
    </x:xf>
    <x:xf numFmtId="0" fontId="7" fillId="16" borderId="1" xfId="0" applyNumberFormat="1" applyFont="1" applyFill="1" applyBorder="1" applyAlignment="1">
      <x:alignment horizontal="right" wrapText="0"/>
    </x:xf>
    <x:xf numFmtId="0" fontId="7" fillId="16" borderId="1" xfId="0" applyNumberFormat="1" applyFont="1" applyFill="1" applyBorder="1" applyAlignment="1">
      <x:alignment horizontal="right" vertical="center" wrapText="0"/>
    </x:xf>
    <x:xf numFmtId="208" fontId="7" fillId="16" borderId="1" xfId="0" applyNumberFormat="1" applyFont="1" applyFill="1" applyBorder="1" applyAlignment="1">
      <x:alignment horizontal="right" vertical="center" wrapText="0"/>
    </x:xf>
    <x:xf numFmtId="0" fontId="1" fillId="16" borderId="0" xfId="0" applyNumberFormat="1" applyFont="1" applyFill="1" applyBorder="1"/>
    <x:xf numFmtId="0" fontId="1" fillId="16" borderId="1" xfId="0" applyNumberFormat="1" applyFont="1" applyFill="1" applyBorder="1"/>
    <x:xf numFmtId="0" fontId="1" fillId="16" borderId="1" xfId="0" applyNumberFormat="1" applyFont="1" applyFill="1" applyBorder="1" applyAlignment="1">
      <x:alignment wrapText="0"/>
    </x:xf>
    <x:xf numFmtId="0" fontId="1" fillId="16" borderId="1" xfId="0" applyNumberFormat="1" applyFont="1" applyFill="1" applyBorder="1" applyAlignment="1">
      <x:alignment vertical="center" wrapText="0"/>
    </x:xf>
    <x:xf numFmtId="208" fontId="1" fillId="16" borderId="1" xfId="0" applyNumberFormat="1" applyFont="1" applyFill="1" applyBorder="1" applyAlignment="1">
      <x:alignment vertical="center" wrapText="0"/>
    </x:xf>
    <x:xf numFmtId="0" fontId="1" fillId="16" borderId="1" xfId="0" applyNumberFormat="1" applyFont="1" applyFill="1" applyBorder="1" applyAlignment="1">
      <x:alignment horizontal="right" wrapText="0"/>
    </x:xf>
    <x:xf numFmtId="0" fontId="1" fillId="16" borderId="1" xfId="0" applyNumberFormat="1" applyFont="1" applyFill="1" applyBorder="1" applyAlignment="1">
      <x:alignment horizontal="right" vertical="center" wrapText="0"/>
    </x:xf>
    <x:xf numFmtId="200" fontId="1" fillId="16" borderId="1" xfId="0" applyNumberFormat="1" applyFont="1" applyFill="1" applyBorder="1" applyAlignment="1">
      <x:alignment horizontal="right" vertical="center" wrapText="0"/>
    </x:xf>
    <x:xf numFmtId="200" fontId="7" fillId="16" borderId="1" xfId="0" applyNumberFormat="1" applyFont="1" applyFill="1" applyBorder="1" applyAlignment="1">
      <x:alignment horizontal="right" vertical="center" wrapText="0"/>
    </x:xf>
    <x:xf numFmtId="202" fontId="7" fillId="16" borderId="1" xfId="0" applyNumberFormat="1" applyFont="1" applyFill="1" applyBorder="1" applyAlignment="1">
      <x:alignment horizontal="right" vertical="center" wrapText="0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08" fontId="9" fillId="0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0" fillId="17" borderId="0" xfId="0" applyNumberFormat="1" applyFont="1" applyFill="1" applyBorder="1"/>
    <x:xf numFmtId="208" fontId="10" fillId="17" borderId="0" xfId="0" applyNumberFormat="1" applyFont="1" applyFill="1" applyBorder="1"/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11" fillId="18" borderId="11" xfId="0" applyNumberFormat="1" applyFont="1" applyFill="1" applyBorder="1"/>
    <x:xf numFmtId="0" fontId="11" fillId="18" borderId="11" xfId="0" applyNumberFormat="1" applyFont="1" applyFill="1" applyBorder="1" applyAlignment="1">
      <x:alignment wrapText="1"/>
    </x:xf>
    <x:xf numFmtId="0" fontId="11" fillId="18" borderId="11" xfId="0" applyNumberFormat="1" applyFont="1" applyFill="1" applyBorder="1" applyAlignment="1">
      <x:alignment horizontal="center" wrapText="1"/>
    </x:xf>
    <x:xf numFmtId="0" fontId="11" fillId="18" borderId="11" xfId="0" applyNumberFormat="1" applyFont="1" applyFill="1" applyBorder="1" applyAlignment="1">
      <x:alignment horizontal="center" vertical="center" wrapText="1"/>
    </x:xf>
    <x:xf numFmtId="208" fontId="11" fillId="18" borderId="11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12" fillId="19" borderId="0" xfId="0" applyNumberFormat="1" applyFont="1" applyFill="1" applyBorder="1"/>
    <x:xf numFmtId="0" fontId="12" fillId="19" borderId="12" xfId="0" applyNumberFormat="1" applyFont="1" applyFill="1" applyBorder="1"/>
    <x:xf numFmtId="0" fontId="12" fillId="19" borderId="12" xfId="0" applyNumberFormat="1" applyFont="1" applyFill="1" applyBorder="1" applyAlignment="1">
      <x:alignment wrapText="0"/>
    </x:xf>
    <x:xf numFmtId="0" fontId="12" fillId="19" borderId="12" xfId="0" applyNumberFormat="1" applyFont="1" applyFill="1" applyBorder="1" applyAlignment="1">
      <x:alignment horizontal="left" wrapText="0"/>
    </x:xf>
    <x:xf numFmtId="0" fontId="12" fillId="19" borderId="12" xfId="0" applyNumberFormat="1" applyFont="1" applyFill="1" applyBorder="1" applyAlignment="1">
      <x:alignment horizontal="left" vertical="center" wrapText="0"/>
    </x:xf>
    <x:xf numFmtId="208" fontId="12" fillId="19" borderId="12" xfId="0" applyNumberFormat="1" applyFont="1" applyFill="1" applyBorder="1" applyAlignment="1">
      <x:alignment horizontal="left" vertical="center" wrapText="0"/>
    </x:xf>
    <x:xf numFmtId="0" fontId="12" fillId="19" borderId="12" xfId="0" applyNumberFormat="1" applyFont="1" applyFill="1" applyBorder="1" applyAlignment="1">
      <x:alignment horizontal="right" wrapText="0"/>
    </x:xf>
    <x:xf numFmtId="0" fontId="12" fillId="19" borderId="12" xfId="0" applyNumberFormat="1" applyFont="1" applyFill="1" applyBorder="1" applyAlignment="1">
      <x:alignment horizontal="right" vertical="center" wrapText="0"/>
    </x:xf>
    <x:xf numFmtId="203" fontId="12" fillId="19" borderId="12" xfId="0" applyNumberFormat="1" applyFont="1" applyFill="1" applyBorder="1" applyAlignment="1">
      <x:alignment horizontal="right" vertical="center" wrapText="0"/>
    </x:xf>
    <x:xf numFmtId="0" fontId="11" fillId="19" borderId="0" xfId="0" applyNumberFormat="1" applyFont="1" applyFill="1" applyBorder="1"/>
    <x:xf numFmtId="0" fontId="11" fillId="19" borderId="12" xfId="0" applyNumberFormat="1" applyFont="1" applyFill="1" applyBorder="1"/>
    <x:xf numFmtId="0" fontId="11" fillId="19" borderId="12" xfId="0" applyNumberFormat="1" applyFont="1" applyFill="1" applyBorder="1" applyAlignment="1">
      <x:alignment wrapText="0"/>
    </x:xf>
    <x:xf numFmtId="0" fontId="11" fillId="19" borderId="12" xfId="0" applyNumberFormat="1" applyFont="1" applyFill="1" applyBorder="1" applyAlignment="1">
      <x:alignment horizontal="right" wrapText="0"/>
    </x:xf>
    <x:xf numFmtId="0" fontId="11" fillId="19" borderId="12" xfId="0" applyNumberFormat="1" applyFont="1" applyFill="1" applyBorder="1" applyAlignment="1">
      <x:alignment horizontal="right" vertical="center" wrapText="0"/>
    </x:xf>
    <x:xf numFmtId="203" fontId="11" fillId="19" borderId="12" xfId="0" applyNumberFormat="1" applyFont="1" applyFill="1" applyBorder="1" applyAlignment="1">
      <x:alignment horizontal="right" vertical="center" wrapText="0"/>
    </x:xf>
    <x:xf numFmtId="204" fontId="12" fillId="19" borderId="12" xfId="0" applyNumberFormat="1" applyFont="1" applyFill="1" applyBorder="1" applyAlignment="1">
      <x:alignment horizontal="right" vertical="center" wrapText="0"/>
    </x:xf>
    <x:xf numFmtId="205" fontId="12" fillId="19" borderId="12" xfId="0" applyNumberFormat="1" applyFont="1" applyFill="1" applyBorder="1" applyAlignment="1">
      <x:alignment horizontal="right" vertical="center" wrapText="0"/>
    </x:xf>
    <x:xf numFmtId="206" fontId="11" fillId="19" borderId="12" xfId="0" applyNumberFormat="1" applyFont="1" applyFill="1" applyBorder="1" applyAlignment="1">
      <x:alignment horizontal="right" vertical="center" wrapText="0"/>
    </x:xf>
    <x:xf numFmtId="206" fontId="12" fillId="19" borderId="12" xfId="0" applyNumberFormat="1" applyFont="1" applyFill="1" applyBorder="1" applyAlignment="1">
      <x:alignment horizontal="right" vertical="center" wrapText="0"/>
    </x:xf>
    <x:xf numFmtId="207" fontId="12" fillId="19" borderId="12" xfId="0" applyNumberFormat="1" applyFont="1" applyFill="1" applyBorder="1" applyAlignment="1">
      <x:alignment horizontal="right" vertical="center" wrapText="0"/>
    </x:xf>
    <x:xf numFmtId="0" fontId="0" fillId="20" borderId="0" xfId="0" applyNumberFormat="1" applyFont="1" applyFill="1" applyBorder="1"/>
    <x:xf numFmtId="0" fontId="12" fillId="20" borderId="0" xfId="0" applyNumberFormat="1" applyFont="1" applyFill="1" applyBorder="1"/>
    <x:xf numFmtId="0" fontId="12" fillId="20" borderId="12" xfId="0" applyNumberFormat="1" applyFont="1" applyFill="1" applyBorder="1"/>
    <x:xf numFmtId="0" fontId="12" fillId="20" borderId="12" xfId="0" applyNumberFormat="1" applyFont="1" applyFill="1" applyBorder="1" applyAlignment="1">
      <x:alignment wrapText="0"/>
    </x:xf>
    <x:xf numFmtId="0" fontId="12" fillId="20" borderId="12" xfId="0" applyNumberFormat="1" applyFont="1" applyFill="1" applyBorder="1" applyAlignment="1">
      <x:alignment horizontal="left" wrapText="0"/>
    </x:xf>
    <x:xf numFmtId="0" fontId="12" fillId="20" borderId="12" xfId="0" applyNumberFormat="1" applyFont="1" applyFill="1" applyBorder="1" applyAlignment="1">
      <x:alignment horizontal="left" vertical="center" wrapText="0"/>
    </x:xf>
    <x:xf numFmtId="208" fontId="12" fillId="20" borderId="12" xfId="0" applyNumberFormat="1" applyFont="1" applyFill="1" applyBorder="1" applyAlignment="1">
      <x:alignment horizontal="left" vertical="center" wrapText="0"/>
    </x:xf>
    <x:xf numFmtId="0" fontId="12" fillId="20" borderId="12" xfId="0" applyNumberFormat="1" applyFont="1" applyFill="1" applyBorder="1" applyAlignment="1">
      <x:alignment horizontal="right" wrapText="0"/>
    </x:xf>
    <x:xf numFmtId="0" fontId="12" fillId="20" borderId="12" xfId="0" applyNumberFormat="1" applyFont="1" applyFill="1" applyBorder="1" applyAlignment="1">
      <x:alignment horizontal="right" vertical="center" wrapText="0"/>
    </x:xf>
    <x:xf numFmtId="203" fontId="12" fillId="20" borderId="12" xfId="0" applyNumberFormat="1" applyFont="1" applyFill="1" applyBorder="1" applyAlignment="1">
      <x:alignment horizontal="right" vertical="center" wrapText="0"/>
    </x:xf>
    <x:xf numFmtId="0" fontId="11" fillId="20" borderId="0" xfId="0" applyNumberFormat="1" applyFont="1" applyFill="1" applyBorder="1"/>
    <x:xf numFmtId="0" fontId="11" fillId="20" borderId="12" xfId="0" applyNumberFormat="1" applyFont="1" applyFill="1" applyBorder="1"/>
    <x:xf numFmtId="0" fontId="11" fillId="20" borderId="12" xfId="0" applyNumberFormat="1" applyFont="1" applyFill="1" applyBorder="1" applyAlignment="1">
      <x:alignment wrapText="0"/>
    </x:xf>
    <x:xf numFmtId="0" fontId="11" fillId="20" borderId="12" xfId="0" applyNumberFormat="1" applyFont="1" applyFill="1" applyBorder="1" applyAlignment="1">
      <x:alignment horizontal="right" wrapText="0"/>
    </x:xf>
    <x:xf numFmtId="0" fontId="11" fillId="20" borderId="12" xfId="0" applyNumberFormat="1" applyFont="1" applyFill="1" applyBorder="1" applyAlignment="1">
      <x:alignment horizontal="right" vertical="center" wrapText="0"/>
    </x:xf>
    <x:xf numFmtId="203" fontId="11" fillId="20" borderId="12" xfId="0" applyNumberFormat="1" applyFont="1" applyFill="1" applyBorder="1" applyAlignment="1">
      <x:alignment horizontal="right" vertical="center" wrapText="0"/>
    </x:xf>
    <x:xf numFmtId="204" fontId="12" fillId="20" borderId="12" xfId="0" applyNumberFormat="1" applyFont="1" applyFill="1" applyBorder="1" applyAlignment="1">
      <x:alignment horizontal="right" vertical="center" wrapText="0"/>
    </x:xf>
    <x:xf numFmtId="205" fontId="12" fillId="20" borderId="12" xfId="0" applyNumberFormat="1" applyFont="1" applyFill="1" applyBorder="1" applyAlignment="1">
      <x:alignment horizontal="right" vertical="center" wrapText="0"/>
    </x:xf>
    <x:xf numFmtId="206" fontId="11" fillId="20" borderId="12" xfId="0" applyNumberFormat="1" applyFont="1" applyFill="1" applyBorder="1" applyAlignment="1">
      <x:alignment horizontal="right" vertical="center" wrapText="0"/>
    </x:xf>
    <x:xf numFmtId="206" fontId="12" fillId="20" borderId="12" xfId="0" applyNumberFormat="1" applyFont="1" applyFill="1" applyBorder="1" applyAlignment="1">
      <x:alignment horizontal="right" vertical="center" wrapText="0"/>
    </x:xf>
    <x:xf numFmtId="207" fontId="12" fillId="20" borderId="12" xfId="0" applyNumberFormat="1" applyFont="1" applyFill="1" applyBorder="1" applyAlignment="1">
      <x:alignment horizontal="right" vertical="center" wrapText="0"/>
    </x:xf>
    <x:xf numFmtId="208" fontId="13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/>
    <x:xf numFmtId="0" fontId="15" fillId="18" borderId="0" xfId="0" applyNumberFormat="1" applyFont="1" applyFill="1" applyBorder="1"/>
    <x:xf numFmtId="0" fontId="16" fillId="0" borderId="0" xfId="0" applyNumberFormat="1" applyFont="1" applyFill="1" applyBorder="1"/>
    <x:xf numFmtId="203" fontId="16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wrapText="1"/>
    </x:xf>
    <x:xf numFmtId="0" fontId="15" fillId="18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</x:cellXfs>
  <x:cellStyles count="1">
    <x:cellStyle name="Normal" xfId="0"/>
  </x:cellStyles>
  <x:dxfs count="20">
    <x:dxf>
      <x:font>
        <x:color rgb="FF27643B"/>
      </x:font>
    </x:dxf>
    <x:dxf>
      <x:font>
        <x:color rgb="FFA33B30"/>
      </x:font>
    </x:dxf>
    <x:dxf>
      <x:font>
        <x:color rgb="FF27643B"/>
      </x:font>
    </x:dxf>
    <x:dxf>
      <x:font>
        <x:color rgb="FFA33B30"/>
      </x:font>
    </x:dxf>
    <x:dxf>
      <x:font>
        <x:color rgb="FF27643B"/>
      </x:font>
    </x:dxf>
    <x:dxf>
      <x:font>
        <x:color rgb="FFA33B30"/>
      </x:font>
    </x:dxf>
    <x:dxf>
      <x:font>
        <x:color rgb="FF27643B"/>
      </x:font>
    </x:dxf>
    <x:dxf>
      <x:font>
        <x:color rgb="FFA33B30"/>
      </x:font>
    </x:dxf>
    <x:dxf>
      <x:font>
        <x:color rgb="FF27643B"/>
      </x:font>
    </x:dxf>
    <x:dxf>
      <x:font>
        <x:color rgb="FFA33B30"/>
      </x:font>
    </x:dxf>
    <x:dxf>
      <x:font>
        <x:color rgb="FF27643B"/>
      </x:font>
    </x:dxf>
    <x:dxf>
      <x:font>
        <x:color rgb="FFA33B30"/>
      </x:font>
    </x:dxf>
    <x:dxf>
      <x:font>
        <x:color rgb="FF27643B"/>
      </x:font>
    </x:dxf>
    <x:dxf>
      <x:font>
        <x:color rgb="FFA33B30"/>
      </x:font>
    </x:dxf>
    <x:dxf>
      <x:font>
        <x:color rgb="FF27643B"/>
      </x:font>
    </x:dxf>
    <x:dxf>
      <x:font>
        <x:color rgb="FFA33B30"/>
      </x:font>
    </x:dxf>
    <x:dxf>
      <x:font>
        <x:color rgb="FF27643B"/>
      </x:font>
    </x:dxf>
    <x:dxf>
      <x:font>
        <x:color rgb="FFA33B30"/>
      </x:font>
    </x:dxf>
    <x:dxf>
      <x:font>
        <x:color rgb="FF27643B"/>
      </x:font>
    </x:dxf>
    <x:dxf>
      <x:font>
        <x:color rgb="FFA33B3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274d1565a34e25" /><Relationship Type="http://schemas.openxmlformats.org/officeDocument/2006/relationships/theme" Target="/xl/theme/theme1.xml" Id="R58d94f0258f14b48" /><Relationship Type="http://schemas.openxmlformats.org/officeDocument/2006/relationships/sharedStrings" Target="/xl/sharedStrings.xml" Id="R02f41d201b434ad0" /><Relationship Type="http://schemas.openxmlformats.org/officeDocument/2006/relationships/worksheet" Target="/xl/worksheets/sheet1.xml" Id="R6ea8687f66514774" /><Relationship Type="http://schemas.openxmlformats.org/officeDocument/2006/relationships/worksheet" Target="/xl/worksheets/sheet2.xml" Id="R52c2860c5c044a6a" /><Relationship Type="http://schemas.openxmlformats.org/officeDocument/2006/relationships/worksheet" Target="/xl/worksheets/sheet3.xml" Id="R437b35c8d17e4dc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533dc6a66314fa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350">
                <a:latin typeface="Arial"/>
                <a:ea typeface="Arial"/>
                <a:cs typeface="Arial"/>
              </a:rPr>
              <a:t>Poisson serving: QPS vs P95 latency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35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ser>
          <c:idx val="0"/>
          <c:order val="0"/>
          <c:tx>
            <c:v>1,000-request screening</c:v>
          </c:tx>
          <c:spPr>
            <a:solidFill xmlns:a="http://schemas.openxmlformats.org/drawingml/2006/main">
              <a:srgbClr val="A6B0B6"/>
            </a:solidFill>
          </c:spPr>
          <c:xVal>
            <c:numRef>
              <c:f>'Latency comparison'!$AA$27:$AA$59</c:f>
              <c:numCache>
                <c:formatCode>0.000</c:formatCode>
                <c:ptCount val="0"/>
              </c:numCache>
            </c:numRef>
          </c:xVal>
          <c:yVal>
            <c:numRef>
              <c:f>'Latency comparison'!$AB$27:$AB$59</c:f>
              <c:numCache>
                <c:formatCode>0.000</c:formatCode>
                <c:ptCount val="0"/>
              </c:numCache>
            </c:numRef>
          </c:yVal>
        </c:ser>
        <c:ser>
          <c:idx val="1"/>
          <c:order val="1"/>
          <c:tx>
            <c:v>Screening Pareto frontier</c:v>
          </c:tx>
          <c:spPr>
            <a:solidFill xmlns:a="http://schemas.openxmlformats.org/drawingml/2006/main">
              <a:srgbClr val="237F59"/>
            </a:solidFill>
            <a:ln xmlns:a="http://schemas.openxmlformats.org/drawingml/2006/main" w="19050">
              <a:solidFill>
                <a:srgbClr val="237F59"/>
              </a:solidFill>
              <a:prstDash val="solid"/>
            </a:ln>
          </c:spPr>
          <c:xVal>
            <c:numRef>
              <c:f>'Latency comparison'!$AA$27:$AA$59</c:f>
              <c:numCache>
                <c:formatCode>0.000</c:formatCode>
                <c:ptCount val="0"/>
              </c:numCache>
            </c:numRef>
          </c:xVal>
          <c:yVal>
            <c:numRef>
              <c:f>'Latency comparison'!$AC$27:$AC$59</c:f>
              <c:numCache>
                <c:formatCode>0.000</c:formatCode>
                <c:ptCount val="0"/>
              </c:numCache>
            </c:numRef>
          </c:yVal>
        </c:ser>
        <c:ser>
          <c:idx val="2"/>
          <c:order val="2"/>
          <c:tx>
            <c:v>10,000-request runs</c:v>
          </c:tx>
          <c:spPr>
            <a:solidFill xmlns:a="http://schemas.openxmlformats.org/drawingml/2006/main">
              <a:srgbClr val="CF7B2A"/>
            </a:solidFill>
          </c:spPr>
          <c:xVal>
            <c:numRef>
              <c:f>'Latency comparison'!$AA$27:$AA$59</c:f>
              <c:numCache>
                <c:formatCode>0.000</c:formatCode>
                <c:ptCount val="0"/>
              </c:numCache>
            </c:numRef>
          </c:xVal>
          <c:yVal>
            <c:numRef>
              <c:f>'Latency comparison'!$AD$27:$AD$59</c:f>
              <c:numCache>
                <c:formatCode>0.000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P95 request latency (s)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Offered Poisson QPS (tables/s)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22</xdr:col>
      <xdr:colOff>0</xdr:colOff>
      <xdr:row>1</xdr:row>
      <xdr:rowOff>0</xdr:rowOff>
    </xdr:from>
    <xdr:to>
      <xdr:col>37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33dc6a66314fa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27a1b8e729147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440000057220459" hidden="0" customWidth="1"/>
    <x:col min="2" max="2" width="2.440000057220459" hidden="0" customWidth="1"/>
    <x:col min="3" max="3" width="22.780000686645508" hidden="0" customWidth="1"/>
    <x:col min="4" max="4" width="11.670000076293945" hidden="0" customWidth="1"/>
    <x:col min="5" max="5" width="11.670000076293945" hidden="0" customWidth="1"/>
    <x:col min="6" max="6" width="11.670000076293945" hidden="0" customWidth="1"/>
    <x:col min="7" max="7" width="11.670000076293945" hidden="0" customWidth="1"/>
    <x:col min="8" max="8" width="11.670000076293945" hidden="0" customWidth="1"/>
    <x:col min="9" max="9" width="11.670000076293945" hidden="0" customWidth="1"/>
    <x:col min="10" max="10" width="11.670000076293945" hidden="0" customWidth="1"/>
    <x:col min="11" max="11" width="4.440000057220459" hidden="0" customWidth="1"/>
    <x:col min="12" max="12" width="9.4399995803833" hidden="0" customWidth="1"/>
    <x:col min="13" max="13" width="8" hidden="0" customWidth="1"/>
    <x:col min="14" max="14" width="8" hidden="0" customWidth="1"/>
    <x:col min="15" max="15" width="8" hidden="0" customWidth="1"/>
    <x:col min="16" max="16" width="4.440000057220459" hidden="0" customWidth="1"/>
    <x:col min="17" max="17" width="4.440000057220459" hidden="0" customWidth="1"/>
    <x:col min="18" max="18" width="22.780000686645508" hidden="0" customWidth="1"/>
    <x:col min="19" max="19" width="11.670000076293945" hidden="0" customWidth="1"/>
    <x:col min="20" max="20" width="11.670000076293945" hidden="0" customWidth="1"/>
    <x:col min="21" max="21" width="11.670000076293945" hidden="0" customWidth="1"/>
    <x:col min="22" max="22" width="11.670000076293945" hidden="0" customWidth="1"/>
    <x:col min="23" max="23" width="11.670000076293945" hidden="0" customWidth="1"/>
    <x:col min="24" max="24" width="11.670000076293945" hidden="0" customWidth="1"/>
    <x:col min="25" max="25" width="11.670000076293945" hidden="0" customWidth="1"/>
    <x:col min="26" max="26" width="2.440000057220459" hidden="0" customWidth="1"/>
  </x:cols>
  <x:sheetData>
    <x:row r="1" ht="20" customHeight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 s="2"/>
    </x:row>
    <x:row r="2" ht="29" customHeight="1">
      <x:c r="A2"/>
      <x:c r="B2"/>
      <x:c r="C2" s="199" t="str">
        <x:v>Poisson serving: 10,000-request runs</x:v>
      </x:c>
      <x:c r="D2" s="199" t="str">
        <x:v>Poisson serving: 10,000-request runs</x:v>
      </x:c>
      <x:c r="E2" s="199" t="str">
        <x:v>Poisson serving: 10,000-request runs</x:v>
      </x:c>
      <x:c r="F2" s="199" t="str">
        <x:v>Poisson serving: 10,000-request runs</x:v>
      </x:c>
      <x:c r="G2" s="199" t="str">
        <x:v>Poisson serving: 10,000-request runs</x:v>
      </x:c>
      <x:c r="H2" s="199" t="str">
        <x:v>Poisson serving: 10,000-request runs</x:v>
      </x:c>
      <x:c r="I2" s="199" t="str">
        <x:v>Poisson serving: 10,000-request runs</x:v>
      </x:c>
      <x:c r="J2" s="199" t="str">
        <x:v>Poisson serving: 10,000-request runs</x:v>
      </x:c>
      <x:c r="K2"/>
      <x:c r="L2" s="199" t="str">
        <x:v>Poisson arrivals</x:v>
      </x:c>
      <x:c r="M2" s="199" t="str">
        <x:v>Poisson arrivals</x:v>
      </x:c>
      <x:c r="N2" s="199" t="str">
        <x:v>Poisson arrivals</x:v>
      </x:c>
      <x:c r="O2" s="199" t="str">
        <x:v>Poisson arrivals</x:v>
      </x:c>
      <x:c r="P2"/>
      <x:c r="Q2"/>
      <x:c r="R2" s="199" t="str">
        <x:v>Run details</x:v>
      </x:c>
      <x:c r="S2" s="199" t="str">
        <x:v>Run details</x:v>
      </x:c>
      <x:c r="T2" s="199" t="str">
        <x:v>Run details</x:v>
      </x:c>
      <x:c r="U2" s="199" t="str">
        <x:v>Run details</x:v>
      </x:c>
      <x:c r="V2"/>
      <x:c r="W2"/>
      <x:c r="X2"/>
      <x:c r="Y2"/>
      <x:c r="Z2" s="2"/>
    </x:row>
    <x:row r="3" ht="37" customHeight="1">
      <x:c r="A3"/>
      <x:c r="B3"/>
      <x:c r="C3" s="206" t="str">
        <x:v>Batch</x:v>
      </x:c>
      <x:c r="D3" s="206" t="str">
        <x:v>Mean(s)</x:v>
      </x:c>
      <x:c r="E3" s="206" t="str">
        <x:v>P50(s)</x:v>
      </x:c>
      <x:c r="F3" s="206" t="str">
        <x:v>P90(s)</x:v>
      </x:c>
      <x:c r="G3" s="206" t="str">
        <x:v>P95(s)</x:v>
      </x:c>
      <x:c r="H3" s="206" t="str">
        <x:v>P99(s)</x:v>
      </x:c>
      <x:c r="I3" s="206" t="str">
        <x:v>Max(s)</x:v>
      </x:c>
      <x:c r="J3" s="206" t="str">
        <x:v>Completed
QPS</x:v>
      </x:c>
      <x:c r="K3"/>
      <x:c r="L3" s="206" t="str">
        <x:v>Requests</x:v>
      </x:c>
      <x:c r="M3" s="206" t="str">
        <x:v>Target
QPS</x:v>
      </x:c>
      <x:c r="N3" s="206" t="str">
        <x:v>Actual
QPS</x:v>
      </x:c>
      <x:c r="O3" s="206" t="str">
        <x:v>Peak 1s
arrivals</x:v>
      </x:c>
      <x:c r="P3"/>
      <x:c r="Q3"/>
      <x:c r="R3" s="206" t="str">
        <x:v>Max in
flight</x:v>
      </x:c>
      <x:c r="S3" s="206" t="str">
        <x:v>Errors</x:v>
      </x:c>
      <x:c r="T3" s="206" t="str">
        <x:v>KV caps</x:v>
      </x:c>
      <x:c r="U3" s="206" t="str">
        <x:v>Run(s)</x:v>
      </x:c>
      <x:c r="V3"/>
      <x:c r="W3"/>
      <x:c r="X3"/>
      <x:c r="Y3"/>
      <x:c r="Z3" s="2"/>
    </x:row>
    <x:row r="4" ht="25" customHeight="1">
      <x:c r="A4"/>
      <x:c r="B4"/>
      <x:c r="C4" s="213" t="str">
        <x:v>B4</x:v>
      </x:c>
      <x:c r="D4" s="216" t="n">
        <x:v>0.8381939266576781</x:v>
      </x:c>
      <x:c r="E4" s="216" t="n">
        <x:v>0.5307202749536373</x:v>
      </x:c>
      <x:c r="F4" s="216" t="n">
        <x:v>1.866153876273893</x:v>
      </x:c>
      <x:c r="G4" s="222" t="n">
        <x:v>2.5707876328902723</x:v>
      </x:c>
      <x:c r="H4" s="216" t="n">
        <x:v>4.772628223444338</x:v>
      </x:c>
      <x:c r="I4" s="216" t="n">
        <x:v>6.657636290998198</x:v>
      </x:c>
      <x:c r="J4" s="222" t="n">
        <x:f>L4/U4</x:f>
        <x:v>3.0005870456040187</x:v>
      </x:c>
      <x:c r="K4"/>
      <x:c r="L4" s="223" t="n">
        <x:v>10000</x:v>
      </x:c>
      <x:c r="M4" s="224" t="n">
        <x:v>3</x:v>
      </x:c>
      <x:c r="N4" s="216" t="n">
        <x:v>3.0009195724624997</x:v>
      </x:c>
      <x:c r="O4" s="225" t="n">
        <x:v>13</x:v>
      </x:c>
      <x:c r="P4"/>
      <x:c r="Q4"/>
      <x:c r="R4" s="226" t="n">
        <x:v>23</x:v>
      </x:c>
      <x:c r="S4" s="226" t="n">
        <x:v>0</x:v>
      </x:c>
      <x:c r="T4" s="226" t="n">
        <x:v>120</x:v>
      </x:c>
      <x:c r="U4" s="227" t="n">
        <x:v>3332.681188052986</x:v>
      </x:c>
      <x:c r="V4"/>
      <x:c r="W4"/>
      <x:c r="X4"/>
      <x:c r="Y4"/>
      <x:c r="Z4" s="2"/>
    </x:row>
    <x:row r="5" ht="25" customHeight="1">
      <x:c r="A5"/>
      <x:c r="B5"/>
      <x:c r="C5" s="234" t="str">
        <x:v>B4</x:v>
      </x:c>
      <x:c r="D5" s="237" t="n">
        <x:v>1.1126923618008964</x:v>
      </x:c>
      <x:c r="E5" s="237" t="n">
        <x:v>0.7568336484837346</x:v>
      </x:c>
      <x:c r="F5" s="237" t="n">
        <x:v>2.477317182091065</x:v>
      </x:c>
      <x:c r="G5" s="243" t="n">
        <x:v>3.2956308381690156</x:v>
      </x:c>
      <x:c r="H5" s="237" t="n">
        <x:v>5.213384488227313</x:v>
      </x:c>
      <x:c r="I5" s="237" t="n">
        <x:v>8.465254702954553</x:v>
      </x:c>
      <x:c r="J5" s="243" t="n">
        <x:f>L5/U5</x:f>
        <x:v>3.999787778060211</x:v>
      </x:c>
      <x:c r="K5"/>
      <x:c r="L5" s="244" t="n">
        <x:v>10000</x:v>
      </x:c>
      <x:c r="M5" s="245" t="n">
        <x:v>4</x:v>
      </x:c>
      <x:c r="N5" s="237" t="n">
        <x:v>4.001216731828599</x:v>
      </x:c>
      <x:c r="O5" s="246" t="n">
        <x:v>15</x:v>
      </x:c>
      <x:c r="P5"/>
      <x:c r="Q5"/>
      <x:c r="R5" s="247" t="n">
        <x:v>27</x:v>
      </x:c>
      <x:c r="S5" s="247" t="n">
        <x:v>0</x:v>
      </x:c>
      <x:c r="T5" s="247" t="n">
        <x:v>120</x:v>
      </x:c>
      <x:c r="U5" s="248" t="n">
        <x:v>2500.1326457499526</x:v>
      </x:c>
      <x:c r="V5"/>
      <x:c r="W5"/>
      <x:c r="X5"/>
      <x:c r="Y5"/>
      <x:c r="Z5" s="2"/>
    </x:row>
    <x:row r="6" ht="25" customHeight="1">
      <x:c r="A6"/>
      <x:c r="B6"/>
      <x:c r="C6" s="213" t="str">
        <x:v>B8</x:v>
      </x:c>
      <x:c r="D6" s="216" t="n">
        <x:v>1.4000281218400923</x:v>
      </x:c>
      <x:c r="E6" s="216" t="n">
        <x:v>0.9287833999842405</x:v>
      </x:c>
      <x:c r="F6" s="216" t="n">
        <x:v>3.081621070904658</x:v>
      </x:c>
      <x:c r="G6" s="222" t="n">
        <x:v>4.114488156582229</x:v>
      </x:c>
      <x:c r="H6" s="216" t="n">
        <x:v>7.3919579467852605</x:v>
      </x:c>
      <x:c r="I6" s="216" t="n">
        <x:v>11.038803583011031</x:v>
      </x:c>
      <x:c r="J6" s="222" t="n">
        <x:f>L6/U6</x:f>
        <x:v>5.992610329656709</x:v>
      </x:c>
      <x:c r="K6"/>
      <x:c r="L6" s="223" t="n">
        <x:v>10000</x:v>
      </x:c>
      <x:c r="M6" s="224" t="n">
        <x:v>6</x:v>
      </x:c>
      <x:c r="N6" s="216" t="n">
        <x:v>6.001814239844325</x:v>
      </x:c>
      <x:c r="O6" s="225" t="n">
        <x:v>18</x:v>
      </x:c>
      <x:c r="P6"/>
      <x:c r="Q6"/>
      <x:c r="R6" s="226" t="n">
        <x:v>35</x:v>
      </x:c>
      <x:c r="S6" s="226" t="n">
        <x:v>0</x:v>
      </x:c>
      <x:c r="T6" s="226" t="n">
        <x:v>120</x:v>
      </x:c>
      <x:c r="U6" s="227" t="n">
        <x:v>1668.7218841030262</x:v>
      </x:c>
      <x:c r="V6"/>
      <x:c r="W6"/>
      <x:c r="X6"/>
      <x:c r="Y6"/>
      <x:c r="Z6" s="2"/>
    </x:row>
    <x:row r="7" ht="20" customHeight="1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 s="2"/>
    </x:row>
    <x:row r="8" ht="34" customHeight="1">
      <x:c r="A8"/>
      <x:c r="B8"/>
      <x:c r="C8" s="249" t="str">
        <x:v>Peak 1s arrivals = most actual SENDs in any rolling one-second window over the entire run; this is a burst count, not serving capacity.</x:v>
      </x:c>
      <x:c r="D8" s="249" t="str">
        <x:v>Peak 1s arrivals = most actual SENDs in any rolling one-second window over the entire run; this is a burst count, not serving capacity.</x:v>
      </x:c>
      <x:c r="E8" s="249" t="str">
        <x:v>Peak 1s arrivals = most actual SENDs in any rolling one-second window over the entire run; this is a burst count, not serving capacity.</x:v>
      </x:c>
      <x:c r="F8" s="249" t="str">
        <x:v>Peak 1s arrivals = most actual SENDs in any rolling one-second window over the entire run; this is a burst count, not serving capacity.</x:v>
      </x:c>
      <x:c r="G8" s="249" t="str">
        <x:v>Peak 1s arrivals = most actual SENDs in any rolling one-second window over the entire run; this is a burst count, not serving capacity.</x:v>
      </x:c>
      <x:c r="H8" s="249" t="str">
        <x:v>Peak 1s arrivals = most actual SENDs in any rolling one-second window over the entire run; this is a burst count, not serving capacity.</x:v>
      </x:c>
      <x:c r="I8" s="249" t="str">
        <x:v>Peak 1s arrivals = most actual SENDs in any rolling one-second window over the entire run; this is a burst count, not serving capacity.</x:v>
      </x:c>
      <x:c r="J8" s="249" t="str">
        <x:v>Peak 1s arrivals = most actual SENDs in any rolling one-second window over the entire run; this is a burst count, not serving capacity.</x:v>
      </x:c>
      <x:c r="K8" s="249" t="str">
        <x:v>Peak 1s arrivals = most actual SENDs in any rolling one-second window over the entire run; this is a burst count, not serving capacity.</x:v>
      </x:c>
      <x:c r="L8" s="249" t="str">
        <x:v>Peak 1s arrivals = most actual SENDs in any rolling one-second window over the entire run; this is a burst count, not serving capacity.</x:v>
      </x:c>
      <x:c r="M8" s="249" t="str">
        <x:v>Peak 1s arrivals = most actual SENDs in any rolling one-second window over the entire run; this is a burst count, not serving capacity.</x:v>
      </x:c>
      <x:c r="N8" s="249" t="str">
        <x:v>Peak 1s arrivals = most actual SENDs in any rolling one-second window over the entire run; this is a burst count, not serving capacity.</x:v>
      </x:c>
      <x:c r="O8" s="249" t="str">
        <x:v>Peak 1s arrivals = most actual SENDs in any rolling one-second window over the entire run; this is a burst count, not serving capacity.</x:v>
      </x:c>
      <x:c r="P8" s="249" t="str">
        <x:v>Peak 1s arrivals = most actual SENDs in any rolling one-second window over the entire run; this is a burst count, not serving capacity.</x:v>
      </x:c>
      <x:c r="Q8" s="249" t="str">
        <x:v>Peak 1s arrivals = most actual SENDs in any rolling one-second window over the entire run; this is a burst count, not serving capacity.</x:v>
      </x:c>
      <x:c r="R8" s="249" t="str">
        <x:v>Peak 1s arrivals = most actual SENDs in any rolling one-second window over the entire run; this is a burst count, not serving capacity.</x:v>
      </x:c>
      <x:c r="S8" s="249" t="str">
        <x:v>Peak 1s arrivals = most actual SENDs in any rolling one-second window over the entire run; this is a burst count, not serving capacity.</x:v>
      </x:c>
      <x:c r="T8" s="249" t="str">
        <x:v>Peak 1s arrivals = most actual SENDs in any rolling one-second window over the entire run; this is a burst count, not serving capacity.</x:v>
      </x:c>
      <x:c r="U8" s="249" t="str">
        <x:v>Peak 1s arrivals = most actual SENDs in any rolling one-second window over the entire run; this is a burst count, not serving capacity.</x:v>
      </x:c>
      <x:c r="V8"/>
      <x:c r="W8"/>
      <x:c r="X8"/>
      <x:c r="Y8"/>
      <x:c r="Z8" s="2"/>
    </x:row>
    <x:row r="9" ht="34" customHeight="1">
      <x:c r="A9"/>
      <x:c r="B9"/>
      <x:c r="C9" s="249" t="str">
        <x:v>Latency is actual SEND → complete response, including queueing. Completed QPS includes final drain. B is static decode batch size; the client has no in-flight cap.</x:v>
      </x:c>
      <x:c r="D9" s="249" t="str">
        <x:v>Latency is actual SEND → complete response, including queueing. Completed QPS includes final drain. B is static decode batch size; the client has no in-flight cap.</x:v>
      </x:c>
      <x:c r="E9" s="249" t="str">
        <x:v>Latency is actual SEND → complete response, including queueing. Completed QPS includes final drain. B is static decode batch size; the client has no in-flight cap.</x:v>
      </x:c>
      <x:c r="F9" s="249" t="str">
        <x:v>Latency is actual SEND → complete response, including queueing. Completed QPS includes final drain. B is static decode batch size; the client has no in-flight cap.</x:v>
      </x:c>
      <x:c r="G9" s="249" t="str">
        <x:v>Latency is actual SEND → complete response, including queueing. Completed QPS includes final drain. B is static decode batch size; the client has no in-flight cap.</x:v>
      </x:c>
      <x:c r="H9" s="249" t="str">
        <x:v>Latency is actual SEND → complete response, including queueing. Completed QPS includes final drain. B is static decode batch size; the client has no in-flight cap.</x:v>
      </x:c>
      <x:c r="I9" s="249" t="str">
        <x:v>Latency is actual SEND → complete response, including queueing. Completed QPS includes final drain. B is static decode batch size; the client has no in-flight cap.</x:v>
      </x:c>
      <x:c r="J9" s="249" t="str">
        <x:v>Latency is actual SEND → complete response, including queueing. Completed QPS includes final drain. B is static decode batch size; the client has no in-flight cap.</x:v>
      </x:c>
      <x:c r="K9" s="249" t="str">
        <x:v>Latency is actual SEND → complete response, including queueing. Completed QPS includes final drain. B is static decode batch size; the client has no in-flight cap.</x:v>
      </x:c>
      <x:c r="L9" s="249" t="str">
        <x:v>Latency is actual SEND → complete response, including queueing. Completed QPS includes final drain. B is static decode batch size; the client has no in-flight cap.</x:v>
      </x:c>
      <x:c r="M9" s="249" t="str">
        <x:v>Latency is actual SEND → complete response, including queueing. Completed QPS includes final drain. B is static decode batch size; the client has no in-flight cap.</x:v>
      </x:c>
      <x:c r="N9" s="249" t="str">
        <x:v>Latency is actual SEND → complete response, including queueing. Completed QPS includes final drain. B is static decode batch size; the client has no in-flight cap.</x:v>
      </x:c>
      <x:c r="O9" s="249" t="str">
        <x:v>Latency is actual SEND → complete response, including queueing. Completed QPS includes final drain. B is static decode batch size; the client has no in-flight cap.</x:v>
      </x:c>
      <x:c r="P9" s="249" t="str">
        <x:v>Latency is actual SEND → complete response, including queueing. Completed QPS includes final drain. B is static decode batch size; the client has no in-flight cap.</x:v>
      </x:c>
      <x:c r="Q9" s="249" t="str">
        <x:v>Latency is actual SEND → complete response, including queueing. Completed QPS includes final drain. B is static decode batch size; the client has no in-flight cap.</x:v>
      </x:c>
      <x:c r="R9" s="249" t="str">
        <x:v>Latency is actual SEND → complete response, including queueing. Completed QPS includes final drain. B is static decode batch size; the client has no in-flight cap.</x:v>
      </x:c>
      <x:c r="S9" s="249" t="str">
        <x:v>Latency is actual SEND → complete response, including queueing. Completed QPS includes final drain. B is static decode batch size; the client has no in-flight cap.</x:v>
      </x:c>
      <x:c r="T9" s="249" t="str">
        <x:v>Latency is actual SEND → complete response, including queueing. Completed QPS includes final drain. B is static decode batch size; the client has no in-flight cap.</x:v>
      </x:c>
      <x:c r="U9" s="249" t="str">
        <x:v>Latency is actual SEND → complete response, including queueing. Completed QPS includes final drain. B is static decode batch size; the client has no in-flight cap.</x:v>
      </x:c>
      <x:c r="V9"/>
      <x:c r="W9"/>
      <x:c r="X9"/>
      <x:c r="Y9"/>
      <x:c r="Z9" s="2"/>
    </x:row>
    <x:row r="10" ht="20" customHeight="1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 s="2"/>
    </x:row>
    <x:row r="11" ht="20" customHeight="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 s="2"/>
    </x:row>
    <x:row r="12" ht="29" customHeight="1">
      <x:c r="A12"/>
      <x:c r="B12"/>
      <x:c r="C12" s="199" t="str">
        <x:v>Poisson frontier: 1,000-request screening runs</x:v>
      </x:c>
      <x:c r="D12" s="199" t="str">
        <x:v>Poisson frontier: 1,000-request screening runs</x:v>
      </x:c>
      <x:c r="E12" s="199" t="str">
        <x:v>Poisson frontier: 1,000-request screening runs</x:v>
      </x:c>
      <x:c r="F12" s="199" t="str">
        <x:v>Poisson frontier: 1,000-request screening runs</x:v>
      </x:c>
      <x:c r="G12" s="199" t="str">
        <x:v>Poisson frontier: 1,000-request screening runs</x:v>
      </x:c>
      <x:c r="H12" s="199" t="str">
        <x:v>Poisson frontier: 1,000-request screening runs</x:v>
      </x:c>
      <x:c r="I12" s="199" t="str">
        <x:v>Poisson frontier: 1,000-request screening runs</x:v>
      </x:c>
      <x:c r="J12" s="199" t="str">
        <x:v>Poisson frontier: 1,000-request screening runs</x:v>
      </x:c>
      <x:c r="K12"/>
      <x:c r="L12" s="199" t="str">
        <x:v>Poisson arrivals</x:v>
      </x:c>
      <x:c r="M12" s="199" t="str">
        <x:v>Poisson arrivals</x:v>
      </x:c>
      <x:c r="N12" s="199" t="str">
        <x:v>Poisson arrivals</x:v>
      </x:c>
      <x:c r="O12" s="199" t="str">
        <x:v>Poisson arrivals</x:v>
      </x:c>
      <x:c r="P12"/>
      <x:c r="Q12"/>
      <x:c r="R12" s="199" t="str">
        <x:v>Run details</x:v>
      </x:c>
      <x:c r="S12" s="199" t="str">
        <x:v>Run details</x:v>
      </x:c>
      <x:c r="T12" s="199" t="str">
        <x:v>Run details</x:v>
      </x:c>
      <x:c r="U12" s="199" t="str">
        <x:v>Run details</x:v>
      </x:c>
      <x:c r="V12"/>
      <x:c r="W12"/>
      <x:c r="X12"/>
      <x:c r="Y12"/>
      <x:c r="Z12" s="2"/>
    </x:row>
    <x:row r="13" ht="37" customHeight="1">
      <x:c r="A13"/>
      <x:c r="B13"/>
      <x:c r="C13" s="206" t="str">
        <x:v>Batch</x:v>
      </x:c>
      <x:c r="D13" s="206" t="str">
        <x:v>Mean(s)</x:v>
      </x:c>
      <x:c r="E13" s="206" t="str">
        <x:v>P50(s)</x:v>
      </x:c>
      <x:c r="F13" s="206" t="str">
        <x:v>P90(s)</x:v>
      </x:c>
      <x:c r="G13" s="206" t="str">
        <x:v>P95(s)</x:v>
      </x:c>
      <x:c r="H13" s="206" t="str">
        <x:v>P99(s)</x:v>
      </x:c>
      <x:c r="I13" s="206" t="str">
        <x:v>Max(s)</x:v>
      </x:c>
      <x:c r="J13" s="206" t="str">
        <x:v>Completed
QPS</x:v>
      </x:c>
      <x:c r="K13"/>
      <x:c r="L13" s="206" t="str">
        <x:v>Requests</x:v>
      </x:c>
      <x:c r="M13" s="206" t="str">
        <x:v>Target
QPS</x:v>
      </x:c>
      <x:c r="N13" s="206" t="str">
        <x:v>Actual
QPS</x:v>
      </x:c>
      <x:c r="O13" s="206" t="str">
        <x:v>Peak 1s
arrivals</x:v>
      </x:c>
      <x:c r="P13"/>
      <x:c r="Q13"/>
      <x:c r="R13" s="206" t="str">
        <x:v>Max in
flight</x:v>
      </x:c>
      <x:c r="S13" s="206" t="str">
        <x:v>Errors</x:v>
      </x:c>
      <x:c r="T13" s="206" t="str">
        <x:v>KV caps</x:v>
      </x:c>
      <x:c r="U13" s="206" t="str">
        <x:v>Run(s)</x:v>
      </x:c>
      <x:c r="V13"/>
      <x:c r="W13"/>
      <x:c r="X13"/>
      <x:c r="Y13"/>
      <x:c r="Z13" s="2"/>
    </x:row>
    <x:row r="14" ht="25" customHeight="1">
      <x:c r="A14"/>
      <x:c r="B14"/>
      <x:c r="C14" s="213" t="str">
        <x:v>B1</x:v>
      </x:c>
      <x:c r="D14" s="216" t="n">
        <x:v>0.9691257224149303</x:v>
      </x:c>
      <x:c r="E14" s="216" t="n">
        <x:v>0.5838210975634865</x:v>
      </x:c>
      <x:c r="F14" s="216" t="n">
        <x:v>2.237700076098554</x:v>
      </x:c>
      <x:c r="G14" s="222" t="n">
        <x:v>3.1777346247283265</x:v>
      </x:c>
      <x:c r="H14" s="216" t="n">
        <x:v>4.949593255821383</x:v>
      </x:c>
      <x:c r="I14" s="216" t="n">
        <x:v>5.8393836750183254</x:v>
      </x:c>
      <x:c r="J14" s="222" t="n">
        <x:f>L14/U14</x:f>
        <x:v>0.9604288857790949</x:v>
      </x:c>
      <x:c r="K14"/>
      <x:c r="L14" s="223" t="n">
        <x:v>1000</x:v>
      </x:c>
      <x:c r="M14" s="224" t="n">
        <x:v>1</x:v>
      </x:c>
      <x:c r="N14" s="216" t="n">
        <x:v>0.9605453364890345</x:v>
      </x:c>
      <x:c r="O14" s="225" t="n">
        <x:v>6</x:v>
      </x:c>
      <x:c r="P14"/>
      <x:c r="Q14"/>
      <x:c r="R14" s="226" t="n">
        <x:v>12</x:v>
      </x:c>
      <x:c r="S14" s="226" t="n">
        <x:v>0</x:v>
      </x:c>
      <x:c r="T14" s="226" t="n">
        <x:v>10</x:v>
      </x:c>
      <x:c r="U14" s="227" t="n">
        <x:v>1041.2015036270022</x:v>
      </x:c>
      <x:c r="V14"/>
      <x:c r="W14"/>
      <x:c r="X14"/>
      <x:c r="Y14"/>
      <x:c r="Z14" s="2"/>
    </x:row>
    <x:row r="15" ht="25" customHeight="1">
      <x:c r="A15"/>
      <x:c r="B15"/>
      <x:c r="C15" s="234" t="str">
        <x:v>B1</x:v>
      </x:c>
      <x:c r="D15" s="237" t="n">
        <x:v>1.7302591471645283</x:v>
      </x:c>
      <x:c r="E15" s="237" t="n">
        <x:v>1.1684920139377937</x:v>
      </x:c>
      <x:c r="F15" s="237" t="n">
        <x:v>3.996651256014593</x:v>
      </x:c>
      <x:c r="G15" s="243" t="n">
        <x:v>5.579265592608135</x:v>
      </x:c>
      <x:c r="H15" s="237" t="n">
        <x:v>7.090596734426216</x:v>
      </x:c>
      <x:c r="I15" s="237" t="n">
        <x:v>9.265944302082062</x:v>
      </x:c>
      <x:c r="J15" s="243" t="n">
        <x:f>L15/U15</x:f>
        <x:v>1.4405574204072555</x:v>
      </x:c>
      <x:c r="K15"/>
      <x:c r="L15" s="244" t="n">
        <x:v>1000</x:v>
      </x:c>
      <x:c r="M15" s="245" t="n">
        <x:v>1.5</x:v>
      </x:c>
      <x:c r="N15" s="237" t="n">
        <x:v>1.4408185162238314</x:v>
      </x:c>
      <x:c r="O15" s="246" t="n">
        <x:v>7</x:v>
      </x:c>
      <x:c r="P15"/>
      <x:c r="Q15"/>
      <x:c r="R15" s="247" t="n">
        <x:v>18</x:v>
      </x:c>
      <x:c r="S15" s="247" t="n">
        <x:v>0</x:v>
      </x:c>
      <x:c r="T15" s="247" t="n">
        <x:v>10</x:v>
      </x:c>
      <x:c r="U15" s="248" t="n">
        <x:v>694.1757307510125</x:v>
      </x:c>
      <x:c r="V15"/>
      <x:c r="W15"/>
      <x:c r="X15"/>
      <x:c r="Y15"/>
      <x:c r="Z15" s="2"/>
    </x:row>
    <x:row r="16" ht="25" customHeight="1">
      <x:c r="A16"/>
      <x:c r="B16"/>
      <x:c r="C16" s="213" t="str">
        <x:v>B2</x:v>
      </x:c>
      <x:c r="D16" s="216" t="n">
        <x:v>0.6164981222964124</x:v>
      </x:c>
      <x:c r="E16" s="216" t="n">
        <x:v>0.39799447951372713</x:v>
      </x:c>
      <x:c r="F16" s="216" t="n">
        <x:v>1.377364455186762</x:v>
      </x:c>
      <x:c r="G16" s="222" t="n">
        <x:v>1.9078530827537175</x:v>
      </x:c>
      <x:c r="H16" s="216" t="n">
        <x:v>3.599969220014755</x:v>
      </x:c>
      <x:c r="I16" s="216" t="n">
        <x:v>3.9818791339639574</x:v>
      </x:c>
      <x:c r="J16" s="222" t="n">
        <x:f>L16/U16</x:f>
        <x:v>0.9604248382436155</x:v>
      </x:c>
      <x:c r="K16"/>
      <x:c r="L16" s="223" t="n">
        <x:v>1000</x:v>
      </x:c>
      <x:c r="M16" s="224" t="n">
        <x:v>1</x:v>
      </x:c>
      <x:c r="N16" s="216" t="n">
        <x:v>0.9605453020087223</x:v>
      </x:c>
      <x:c r="O16" s="225" t="n">
        <x:v>6</x:v>
      </x:c>
      <x:c r="P16"/>
      <x:c r="Q16"/>
      <x:c r="R16" s="226" t="n">
        <x:v>6</x:v>
      </x:c>
      <x:c r="S16" s="226" t="n">
        <x:v>0</x:v>
      </x:c>
      <x:c r="T16" s="226" t="n">
        <x:v>10</x:v>
      </x:c>
      <x:c r="U16" s="227" t="n">
        <x:v>1041.2058915810194</x:v>
      </x:c>
      <x:c r="V16"/>
      <x:c r="W16"/>
      <x:c r="X16"/>
      <x:c r="Y16"/>
      <x:c r="Z16" s="2"/>
    </x:row>
    <x:row r="17" ht="25" customHeight="1">
      <x:c r="A17"/>
      <x:c r="B17"/>
      <x:c r="C17" s="234" t="str">
        <x:v>B2</x:v>
      </x:c>
      <x:c r="D17" s="237" t="n">
        <x:v>0.8205796836341033</x:v>
      </x:c>
      <x:c r="E17" s="237" t="n">
        <x:v>0.5327663444913924</x:v>
      </x:c>
      <x:c r="F17" s="237" t="n">
        <x:v>1.8849964881897903</x:v>
      </x:c>
      <x:c r="G17" s="243" t="n">
        <x:v>2.466873035416938</x:v>
      </x:c>
      <x:c r="H17" s="237" t="n">
        <x:v>3.881520646536955</x:v>
      </x:c>
      <x:c r="I17" s="237" t="n">
        <x:v>5.330418035038747</x:v>
      </x:c>
      <x:c r="J17" s="243" t="n">
        <x:f>L17/U17</x:f>
        <x:v>1.9206098264944917</x:v>
      </x:c>
      <x:c r="K17"/>
      <x:c r="L17" s="244" t="n">
        <x:v>1000</x:v>
      </x:c>
      <x:c r="M17" s="245" t="n">
        <x:v>2</x:v>
      </x:c>
      <x:c r="N17" s="237" t="n">
        <x:v>1.9210874410251435</x:v>
      </x:c>
      <x:c r="O17" s="246" t="n">
        <x:v>8</x:v>
      </x:c>
      <x:c r="P17"/>
      <x:c r="Q17"/>
      <x:c r="R17" s="247" t="n">
        <x:v>14</x:v>
      </x:c>
      <x:c r="S17" s="247" t="n">
        <x:v>0</x:v>
      </x:c>
      <x:c r="T17" s="247" t="n">
        <x:v>10</x:v>
      </x:c>
      <x:c r="U17" s="248" t="n">
        <x:v>520.6679598350311</x:v>
      </x:c>
      <x:c r="V17"/>
      <x:c r="W17"/>
      <x:c r="X17"/>
      <x:c r="Y17"/>
      <x:c r="Z17" s="2"/>
    </x:row>
    <x:row r="18" ht="25" customHeight="1">
      <x:c r="A18"/>
      <x:c r="B18"/>
      <x:c r="C18" s="213" t="str">
        <x:v>B2</x:v>
      </x:c>
      <x:c r="D18" s="216" t="n">
        <x:v>1.0941206319523045</x:v>
      </x:c>
      <x:c r="E18" s="216" t="n">
        <x:v>0.7822463749325834</x:v>
      </x:c>
      <x:c r="F18" s="216" t="n">
        <x:v>2.4250247893389316</x:v>
      </x:c>
      <x:c r="G18" s="222" t="n">
        <x:v>3.33923458122881</x:v>
      </x:c>
      <x:c r="H18" s="216" t="n">
        <x:v>4.226416097737383</x:v>
      </x:c>
      <x:c r="I18" s="216" t="n">
        <x:v>6.462392601999454</x:v>
      </x:c>
      <x:c r="J18" s="222" t="n">
        <x:f>L18/U18</x:f>
        <x:v>2.400607400224895</x:v>
      </x:c>
      <x:c r="K18"/>
      <x:c r="L18" s="223" t="n">
        <x:v>1000</x:v>
      </x:c>
      <x:c r="M18" s="224" t="n">
        <x:v>2.5</x:v>
      </x:c>
      <x:c r="N18" s="216" t="n">
        <x:v>2.4013547658481365</x:v>
      </x:c>
      <x:c r="O18" s="225" t="n">
        <x:v>8</x:v>
      </x:c>
      <x:c r="P18"/>
      <x:c r="Q18"/>
      <x:c r="R18" s="226" t="n">
        <x:v>18</x:v>
      </x:c>
      <x:c r="S18" s="226" t="n">
        <x:v>0</x:v>
      </x:c>
      <x:c r="T18" s="226" t="n">
        <x:v>10</x:v>
      </x:c>
      <x:c r="U18" s="227" t="n">
        <x:v>416.5612419199897</x:v>
      </x:c>
      <x:c r="V18"/>
      <x:c r="W18"/>
      <x:c r="X18"/>
      <x:c r="Y18"/>
      <x:c r="Z18" s="2"/>
    </x:row>
    <x:row r="19" ht="25" customHeight="1">
      <x:c r="A19"/>
      <x:c r="B19"/>
      <x:c r="C19" s="234" t="str">
        <x:v>B2</x:v>
      </x:c>
      <x:c r="D19" s="237" t="n">
        <x:v>1.6792252935251455</x:v>
      </x:c>
      <x:c r="E19" s="237" t="n">
        <x:v>1.2359167854883708</x:v>
      </x:c>
      <x:c r="F19" s="237" t="n">
        <x:v>3.8069372972007844</x:v>
      </x:c>
      <x:c r="G19" s="243" t="n">
        <x:v>4.295728808396961</x:v>
      </x:c>
      <x:c r="H19" s="237" t="n">
        <x:v>5.498743237628369</x:v>
      </x:c>
      <x:c r="I19" s="237" t="n">
        <x:v>8.106824871967547</x:v>
      </x:c>
      <x:c r="J19" s="243" t="n">
        <x:f>L19/U19</x:f>
        <x:v>2.8805193428341274</x:v>
      </x:c>
      <x:c r="K19"/>
      <x:c r="L19" s="244" t="n">
        <x:v>1000</x:v>
      </x:c>
      <x:c r="M19" s="245" t="n">
        <x:v>3</x:v>
      </x:c>
      <x:c r="N19" s="237" t="n">
        <x:v>2.881630067878341</x:v>
      </x:c>
      <x:c r="O19" s="246" t="n">
        <x:v>10</x:v>
      </x:c>
      <x:c r="P19"/>
      <x:c r="Q19"/>
      <x:c r="R19" s="247" t="n">
        <x:v>20</x:v>
      </x:c>
      <x:c r="S19" s="247" t="n">
        <x:v>0</x:v>
      </x:c>
      <x:c r="T19" s="247" t="n">
        <x:v>10</x:v>
      </x:c>
      <x:c r="U19" s="248" t="n">
        <x:v>347.1596198399784</x:v>
      </x:c>
      <x:c r="V19"/>
      <x:c r="W19"/>
      <x:c r="X19"/>
      <x:c r="Y19"/>
      <x:c r="Z19" s="2"/>
    </x:row>
    <x:row r="20" ht="25" customHeight="1">
      <x:c r="A20"/>
      <x:c r="B20"/>
      <x:c r="C20" s="213" t="str">
        <x:v>B3</x:v>
      </x:c>
      <x:c r="D20" s="216" t="n">
        <x:v>0.6984749365694588</x:v>
      </x:c>
      <x:c r="E20" s="216" t="n">
        <x:v>0.44513655494665727</x:v>
      </x:c>
      <x:c r="F20" s="216" t="n">
        <x:v>1.5183244045590982</x:v>
      </x:c>
      <x:c r="G20" s="222" t="n">
        <x:v>2.17845799459028</x:v>
      </x:c>
      <x:c r="H20" s="216" t="n">
        <x:v>4.022235281646717</x:v>
      </x:c>
      <x:c r="I20" s="216" t="n">
        <x:v>4.503179874969646</x:v>
      </x:c>
      <x:c r="J20" s="222" t="n">
        <x:f>L20/U20</x:f>
        <x:v>1.9205908240979364</x:v>
      </x:c>
      <x:c r="K20"/>
      <x:c r="L20" s="223" t="n">
        <x:v>1000</x:v>
      </x:c>
      <x:c r="M20" s="224" t="n">
        <x:v>2</x:v>
      </x:c>
      <x:c r="N20" s="216" t="n">
        <x:v>1.9210894083963421</x:v>
      </x:c>
      <x:c r="O20" s="225" t="n">
        <x:v>8</x:v>
      </x:c>
      <x:c r="P20"/>
      <x:c r="Q20"/>
      <x:c r="R20" s="226" t="n">
        <x:v>9</x:v>
      </x:c>
      <x:c r="S20" s="226" t="n">
        <x:v>0</x:v>
      </x:c>
      <x:c r="T20" s="226" t="n">
        <x:v>10</x:v>
      </x:c>
      <x:c r="U20" s="227" t="n">
        <x:v>520.6731113430578</x:v>
      </x:c>
      <x:c r="V20"/>
      <x:c r="W20"/>
      <x:c r="X20"/>
      <x:c r="Y20"/>
      <x:c r="Z20" s="2"/>
    </x:row>
    <x:row r="21" ht="25" customHeight="1">
      <x:c r="A21"/>
      <x:c r="B21"/>
      <x:c r="C21" s="234" t="str">
        <x:v>B3</x:v>
      </x:c>
      <x:c r="D21" s="237" t="n">
        <x:v>0.879554645401542</x:v>
      </x:c>
      <x:c r="E21" s="237" t="n">
        <x:v>0.6051301039988175</x:v>
      </x:c>
      <x:c r="F21" s="237" t="n">
        <x:v>1.931485505856108</x:v>
      </x:c>
      <x:c r="G21" s="243" t="n">
        <x:v>2.5341828296950553</x:v>
      </x:c>
      <x:c r="H21" s="237" t="n">
        <x:v>4.3021849341096825</x:v>
      </x:c>
      <x:c r="I21" s="237" t="n">
        <x:v>5.835025061038323</x:v>
      </x:c>
      <x:c r="J21" s="243" t="n">
        <x:f>L21/U21</x:f>
        <x:v>2.880481427505617</x:v>
      </x:c>
      <x:c r="K21"/>
      <x:c r="L21" s="244" t="n">
        <x:v>1000</x:v>
      </x:c>
      <x:c r="M21" s="245" t="n">
        <x:v>3</x:v>
      </x:c>
      <x:c r="N21" s="237" t="n">
        <x:v>2.8816300591597765</x:v>
      </x:c>
      <x:c r="O21" s="246" t="n">
        <x:v>10</x:v>
      </x:c>
      <x:c r="P21"/>
      <x:c r="Q21"/>
      <x:c r="R21" s="247" t="n">
        <x:v>14</x:v>
      </x:c>
      <x:c r="S21" s="247" t="n">
        <x:v>0</x:v>
      </x:c>
      <x:c r="T21" s="247" t="n">
        <x:v>10</x:v>
      </x:c>
      <x:c r="U21" s="248" t="n">
        <x:v>347.16418944799807</x:v>
      </x:c>
      <x:c r="V21"/>
      <x:c r="W21"/>
      <x:c r="X21"/>
      <x:c r="Y21"/>
      <x:c r="Z21" s="2"/>
    </x:row>
    <x:row r="22" ht="25" customHeight="1">
      <x:c r="A22"/>
      <x:c r="B22"/>
      <x:c r="C22" s="213" t="str">
        <x:v>B3</x:v>
      </x:c>
      <x:c r="D22" s="216" t="n">
        <x:v>1.0745959470295348</x:v>
      </x:c>
      <x:c r="E22" s="216" t="n">
        <x:v>0.7751913699321449</x:v>
      </x:c>
      <x:c r="F22" s="216" t="n">
        <x:v>2.314597138192039</x:v>
      </x:c>
      <x:c r="G22" s="222" t="n">
        <x:v>2.9002190178027374</x:v>
      </x:c>
      <x:c r="H22" s="216" t="n">
        <x:v>4.4984800959343545</x:v>
      </x:c>
      <x:c r="I22" s="216" t="n">
        <x:v>6.7919138530269265</x:v>
      </x:c>
      <x:c r="J22" s="222" t="n">
        <x:f>L22/U22</x:f>
        <x:v>3.360221465282445</x:v>
      </x:c>
      <x:c r="K22"/>
      <x:c r="L22" s="223" t="n">
        <x:v>1000</x:v>
      </x:c>
      <x:c r="M22" s="224" t="n">
        <x:v>3.5</x:v>
      </x:c>
      <x:c r="N22" s="216" t="n">
        <x:v>3.361896804242246</x:v>
      </x:c>
      <x:c r="O22" s="225" t="n">
        <x:v>11</x:v>
      </x:c>
      <x:c r="P22"/>
      <x:c r="Q22"/>
      <x:c r="R22" s="226" t="n">
        <x:v>17</x:v>
      </x:c>
      <x:c r="S22" s="226" t="n">
        <x:v>0</x:v>
      </x:c>
      <x:c r="T22" s="226" t="n">
        <x:v>10</x:v>
      </x:c>
      <x:c r="U22" s="227" t="n">
        <x:v>297.5994321600301</x:v>
      </x:c>
      <x:c r="V22"/>
      <x:c r="W22"/>
      <x:c r="X22"/>
      <x:c r="Y22"/>
      <x:c r="Z22" s="2"/>
    </x:row>
    <x:row r="23" ht="25" customHeight="1">
      <x:c r="A23"/>
      <x:c r="B23"/>
      <x:c r="C23" s="234" t="str">
        <x:v>B4</x:v>
      </x:c>
      <x:c r="D23" s="237" t="n">
        <x:v>0.7030430364253698</x:v>
      </x:c>
      <x:c r="E23" s="237" t="n">
        <x:v>0.4411039319820702</x:v>
      </x:c>
      <x:c r="F23" s="237" t="n">
        <x:v>1.5486843313090504</x:v>
      </x:c>
      <x:c r="G23" s="243" t="n">
        <x:v>2.2517878266284237</x:v>
      </x:c>
      <x:c r="H23" s="237" t="n">
        <x:v>4.319931239752331</x:v>
      </x:c>
      <x:c r="I23" s="237" t="n">
        <x:v>5.1513000200502574</x:v>
      </x:c>
      <x:c r="J23" s="243" t="n">
        <x:f>L23/U23</x:f>
        <x:v>1.9205597119581803</x:v>
      </x:c>
      <x:c r="K23"/>
      <x:c r="L23" s="244" t="n">
        <x:v>1000</x:v>
      </x:c>
      <x:c r="M23" s="245" t="n">
        <x:v>2</x:v>
      </x:c>
      <x:c r="N23" s="237" t="n">
        <x:v>1.921088411109121</x:v>
      </x:c>
      <x:c r="O23" s="246" t="n">
        <x:v>8</x:v>
      </x:c>
      <x:c r="P23"/>
      <x:c r="Q23"/>
      <x:c r="R23" s="247" t="n">
        <x:v>7</x:v>
      </x:c>
      <x:c r="S23" s="247" t="n">
        <x:v>0</x:v>
      </x:c>
      <x:c r="T23" s="247" t="n">
        <x:v>10</x:v>
      </x:c>
      <x:c r="U23" s="248" t="n">
        <x:v>520.6815459959907</x:v>
      </x:c>
      <x:c r="V23"/>
      <x:c r="W23"/>
      <x:c r="X23"/>
      <x:c r="Y23"/>
      <x:c r="Z23" s="2"/>
    </x:row>
    <x:row r="24" ht="25" customHeight="1">
      <x:c r="A24"/>
      <x:c r="B24"/>
      <x:c r="C24" s="213" t="str">
        <x:v>B4</x:v>
      </x:c>
      <x:c r="D24" s="216" t="n">
        <x:v>0.8014180558078224</x:v>
      </x:c>
      <x:c r="E24" s="216" t="n">
        <x:v>0.5173414975288324</x:v>
      </x:c>
      <x:c r="F24" s="216" t="n">
        <x:v>1.6956030809669755</x:v>
      </x:c>
      <x:c r="G24" s="222" t="n">
        <x:v>2.4786705797363537</x:v>
      </x:c>
      <x:c r="H24" s="216" t="n">
        <x:v>4.586365595412208</x:v>
      </x:c>
      <x:c r="I24" s="216" t="n">
        <x:v>5.808744483976625</x:v>
      </x:c>
      <x:c r="J24" s="222" t="n">
        <x:f>L24/U24</x:f>
        <x:v>2.8804036595454017</x:v>
      </x:c>
      <x:c r="K24"/>
      <x:c r="L24" s="223" t="n">
        <x:v>1000</x:v>
      </x:c>
      <x:c r="M24" s="224" t="n">
        <x:v>3</x:v>
      </x:c>
      <x:c r="N24" s="216" t="n">
        <x:v>2.8816307718907535</x:v>
      </x:c>
      <x:c r="O24" s="225" t="n">
        <x:v>10</x:v>
      </x:c>
      <x:c r="P24"/>
      <x:c r="Q24"/>
      <x:c r="R24" s="226" t="n">
        <x:v>11</x:v>
      </x:c>
      <x:c r="S24" s="226" t="n">
        <x:v>0</x:v>
      </x:c>
      <x:c r="T24" s="226" t="n">
        <x:v>10</x:v>
      </x:c>
      <x:c r="U24" s="227" t="n">
        <x:v>347.1735625269357</x:v>
      </x:c>
      <x:c r="V24"/>
      <x:c r="W24"/>
      <x:c r="X24"/>
      <x:c r="Y24"/>
      <x:c r="Z24" s="2"/>
    </x:row>
    <x:row r="25" ht="25" customHeight="1">
      <x:c r="A25"/>
      <x:c r="B25"/>
      <x:c r="C25" s="234" t="str">
        <x:v>B4</x:v>
      </x:c>
      <x:c r="D25" s="237" t="n">
        <x:v>1.0413042800261174</x:v>
      </x:c>
      <x:c r="E25" s="237" t="n">
        <x:v>0.7268217024975456</x:v>
      </x:c>
      <x:c r="F25" s="237" t="n">
        <x:v>2.2136687659891323</x:v>
      </x:c>
      <x:c r="G25" s="243" t="n">
        <x:v>2.861482815077761</x:v>
      </x:c>
      <x:c r="H25" s="237" t="n">
        <x:v>4.820125007558381</x:v>
      </x:c>
      <x:c r="I25" s="237" t="n">
        <x:v>6.822667004889809</x:v>
      </x:c>
      <x:c r="J25" s="243" t="n">
        <x:f>L25/U25</x:f>
        <x:v>3.8386891348955845</x:v>
      </x:c>
      <x:c r="K25"/>
      <x:c r="L25" s="244" t="n">
        <x:v>1000</x:v>
      </x:c>
      <x:c r="M25" s="245" t="n">
        <x:v>4</x:v>
      </x:c>
      <x:c r="N25" s="237" t="n">
        <x:v>3.8421695206028055</x:v>
      </x:c>
      <x:c r="O25" s="246" t="n">
        <x:v>12</x:v>
      </x:c>
      <x:c r="P25"/>
      <x:c r="Q25"/>
      <x:c r="R25" s="247" t="n">
        <x:v>15</x:v>
      </x:c>
      <x:c r="S25" s="247" t="n">
        <x:v>0</x:v>
      </x:c>
      <x:c r="T25" s="247" t="n">
        <x:v>10</x:v>
      </x:c>
      <x:c r="U25" s="248" t="n">
        <x:v>260.5055957539007</x:v>
      </x:c>
      <x:c r="V25"/>
      <x:c r="W25"/>
      <x:c r="X25"/>
      <x:c r="Y25"/>
      <x:c r="Z25" s="2"/>
    </x:row>
    <x:row r="26" ht="25" customHeight="1">
      <x:c r="A26"/>
      <x:c r="B26"/>
      <x:c r="C26" s="213" t="str">
        <x:v>B4</x:v>
      </x:c>
      <x:c r="D26" s="216" t="n">
        <x:v>1.2476964695241768</x:v>
      </x:c>
      <x:c r="E26" s="216" t="n">
        <x:v>0.9257426535477862</x:v>
      </x:c>
      <x:c r="F26" s="216" t="n">
        <x:v>2.6076620539766737</x:v>
      </x:c>
      <x:c r="G26" s="222" t="n">
        <x:v>3.0991119307989705</x:v>
      </x:c>
      <x:c r="H26" s="216" t="n">
        <x:v>5.560218508186517</x:v>
      </x:c>
      <x:c r="I26" s="216" t="n">
        <x:v>7.751292889006436</x:v>
      </x:c>
      <x:c r="J26" s="222" t="n">
        <x:f>L26/U26</x:f>
        <x:v>4.317248276790875</x:v>
      </x:c>
      <x:c r="K26"/>
      <x:c r="L26" s="223" t="n">
        <x:v>1000</x:v>
      </x:c>
      <x:c r="M26" s="224" t="n">
        <x:v>4.5</x:v>
      </x:c>
      <x:c r="N26" s="216" t="n">
        <x:v>4.322437363293607</x:v>
      </x:c>
      <x:c r="O26" s="225" t="n">
        <x:v>13</x:v>
      </x:c>
      <x:c r="P26"/>
      <x:c r="Q26"/>
      <x:c r="R26" s="226" t="n">
        <x:v>18</x:v>
      </x:c>
      <x:c r="S26" s="226" t="n">
        <x:v>0</x:v>
      </x:c>
      <x:c r="T26" s="226" t="n">
        <x:v>10</x:v>
      </x:c>
      <x:c r="U26" s="227" t="n">
        <x:v>231.62902290700004</x:v>
      </x:c>
      <x:c r="V26"/>
      <x:c r="W26"/>
      <x:c r="X26"/>
      <x:c r="Y26"/>
      <x:c r="Z26" s="2"/>
      <x:c r="AA26" s="256" t="str">
        <x:v>Offered QPS</x:v>
      </x:c>
      <x:c r="AB26" s="256" t="str">
        <x:v>Screening P95</x:v>
      </x:c>
      <x:c r="AC26" s="256" t="str">
        <x:v>Frontier P95</x:v>
      </x:c>
      <x:c r="AD26" s="256" t="str">
        <x:v>10k P95</x:v>
      </x:c>
    </x:row>
    <x:row r="27" ht="25" customHeight="1">
      <x:c r="A27"/>
      <x:c r="B27"/>
      <x:c r="C27" s="234" t="str">
        <x:v>B5</x:v>
      </x:c>
      <x:c r="D27" s="237" t="n">
        <x:v>0.7939712922016624</x:v>
      </x:c>
      <x:c r="E27" s="237" t="n">
        <x:v>0.49557546246796846</x:v>
      </x:c>
      <x:c r="F27" s="237" t="n">
        <x:v>1.759876648162026</x:v>
      </x:c>
      <x:c r="G27" s="243" t="n">
        <x:v>2.514417991338994</x:v>
      </x:c>
      <x:c r="H27" s="237" t="n">
        <x:v>4.833098185710842</x:v>
      </x:c>
      <x:c r="I27" s="237" t="n">
        <x:v>6.079523705062456</x:v>
      </x:c>
      <x:c r="J27" s="243" t="n">
        <x:f>L27/U27</x:f>
        <x:v>2.880368775125182</x:v>
      </x:c>
      <x:c r="K27"/>
      <x:c r="L27" s="244" t="n">
        <x:v>1000</x:v>
      </x:c>
      <x:c r="M27" s="245" t="n">
        <x:v>3</x:v>
      </x:c>
      <x:c r="N27" s="237" t="n">
        <x:v>2.8816276126566915</x:v>
      </x:c>
      <x:c r="O27" s="246" t="n">
        <x:v>10</x:v>
      </x:c>
      <x:c r="P27"/>
      <x:c r="Q27"/>
      <x:c r="R27" s="247" t="n">
        <x:v>11</x:v>
      </x:c>
      <x:c r="S27" s="247" t="n">
        <x:v>0</x:v>
      </x:c>
      <x:c r="T27" s="247" t="n">
        <x:v>10</x:v>
      </x:c>
      <x:c r="U27" s="248" t="n">
        <x:v>347.17776717897505</x:v>
      </x:c>
      <x:c r="V27"/>
      <x:c r="W27"/>
      <x:c r="X27"/>
      <x:c r="Y27"/>
      <x:c r="Z27" s="2"/>
      <x:c r="AA27" s="257" t="n">
        <x:f>M14</x:f>
        <x:v>1</x:v>
      </x:c>
      <x:c r="AB27" s="257" t="n">
        <x:f>G14</x:f>
        <x:v>3.1777346247283265</x:v>
      </x:c>
      <x:c r="AC27" s="257" t="e">
        <x:f>IF(COUNTIFS($M$14:$M$43,"&gt;="&amp;M14,$G$14:$G$43,"&lt;"&amp;G14)+COUNTIFS($M$14:$M$43,"&gt;"&amp;M14,$G$14:$G$43,"&lt;="&amp;G14)=0,G14,NA())</x:f>
        <x:v>#N/A</x:v>
      </x:c>
      <x:c r="AD27" s="257" t="e">
        <x:f>NA()</x:f>
        <x:v>#N/A</x:v>
      </x:c>
    </x:row>
    <x:row r="28" ht="25" customHeight="1">
      <x:c r="A28"/>
      <x:c r="B28"/>
      <x:c r="C28" s="213" t="str">
        <x:v>B5</x:v>
      </x:c>
      <x:c r="D28" s="216" t="n">
        <x:v>0.9208786517281551</x:v>
      </x:c>
      <x:c r="E28" s="216" t="n">
        <x:v>0.6065615839906968</x:v>
      </x:c>
      <x:c r="F28" s="216" t="n">
        <x:v>1.9256572314770894</x:v>
      </x:c>
      <x:c r="G28" s="222" t="n">
        <x:v>2.876082692487398</x:v>
      </x:c>
      <x:c r="H28" s="216" t="n">
        <x:v>5.165105623090637</x:v>
      </x:c>
      <x:c r="I28" s="216" t="n">
        <x:v>6.417887695948593</x:v>
      </x:c>
      <x:c r="J28" s="222" t="n">
        <x:f>L28/U28</x:f>
        <x:v>3.8383880707557854</x:v>
      </x:c>
      <x:c r="K28"/>
      <x:c r="L28" s="223" t="n">
        <x:v>1000</x:v>
      </x:c>
      <x:c r="M28" s="224" t="n">
        <x:v>4</x:v>
      </x:c>
      <x:c r="N28" s="216" t="n">
        <x:v>3.842171396606505</x:v>
      </x:c>
      <x:c r="O28" s="225" t="n">
        <x:v>12</x:v>
      </x:c>
      <x:c r="P28"/>
      <x:c r="Q28"/>
      <x:c r="R28" s="226" t="n">
        <x:v>13</x:v>
      </x:c>
      <x:c r="S28" s="226" t="n">
        <x:v>0</x:v>
      </x:c>
      <x:c r="T28" s="226" t="n">
        <x:v>10</x:v>
      </x:c>
      <x:c r="U28" s="227" t="n">
        <x:v>260.52602852194104</x:v>
      </x:c>
      <x:c r="V28"/>
      <x:c r="W28"/>
      <x:c r="X28"/>
      <x:c r="Y28"/>
      <x:c r="Z28" s="2"/>
      <x:c r="AA28" s="257" t="n">
        <x:f>M15</x:f>
        <x:v>1.5</x:v>
      </x:c>
      <x:c r="AB28" s="257" t="n">
        <x:f>G15</x:f>
        <x:v>5.579265592608135</x:v>
      </x:c>
      <x:c r="AC28" s="257" t="e">
        <x:f>IF(COUNTIFS($M$14:$M$43,"&gt;="&amp;M15,$G$14:$G$43,"&lt;"&amp;G15)+COUNTIFS($M$14:$M$43,"&gt;"&amp;M15,$G$14:$G$43,"&lt;="&amp;G15)=0,G15,NA())</x:f>
        <x:v>#N/A</x:v>
      </x:c>
      <x:c r="AD28" s="257" t="e">
        <x:f>NA()</x:f>
        <x:v>#N/A</x:v>
      </x:c>
    </x:row>
    <x:row r="29" ht="25" customHeight="1">
      <x:c r="A29"/>
      <x:c r="B29"/>
      <x:c r="C29" s="234" t="str">
        <x:v>B5</x:v>
      </x:c>
      <x:c r="D29" s="237" t="n">
        <x:v>1.1920125668264228</x:v>
      </x:c>
      <x:c r="E29" s="237" t="n">
        <x:v>0.8770047849975526</x:v>
      </x:c>
      <x:c r="F29" s="237" t="n">
        <x:v>2.427299792948179</x:v>
      </x:c>
      <x:c r="G29" s="243" t="n">
        <x:v>3.051628623047141</x:v>
      </x:c>
      <x:c r="H29" s="237" t="n">
        <x:v>5.905083197477507</x:v>
      </x:c>
      <x:c r="I29" s="237" t="n">
        <x:v>7.9373793210834265</x:v>
      </x:c>
      <x:c r="J29" s="243" t="n">
        <x:f>L29/U29</x:f>
        <x:v>4.79287470797538</x:v>
      </x:c>
      <x:c r="K29"/>
      <x:c r="L29" s="244" t="n">
        <x:v>1000</x:v>
      </x:c>
      <x:c r="M29" s="245" t="n">
        <x:v>5</x:v>
      </x:c>
      <x:c r="N29" s="237" t="n">
        <x:v>4.802690670478672</x:v>
      </x:c>
      <x:c r="O29" s="246" t="n">
        <x:v>14</x:v>
      </x:c>
      <x:c r="P29"/>
      <x:c r="Q29"/>
      <x:c r="R29" s="247" t="n">
        <x:v>17</x:v>
      </x:c>
      <x:c r="S29" s="247" t="n">
        <x:v>0</x:v>
      </x:c>
      <x:c r="T29" s="247" t="n">
        <x:v>10</x:v>
      </x:c>
      <x:c r="U29" s="248" t="n">
        <x:v>208.64305055502336</x:v>
      </x:c>
      <x:c r="V29"/>
      <x:c r="W29"/>
      <x:c r="X29"/>
      <x:c r="Y29"/>
      <x:c r="Z29" s="2"/>
      <x:c r="AA29" s="257" t="n">
        <x:f>M16</x:f>
        <x:v>1</x:v>
      </x:c>
      <x:c r="AB29" s="257" t="n">
        <x:f>G16</x:f>
        <x:v>1.9078530827537175</x:v>
      </x:c>
      <x:c r="AC29" s="257" t="n">
        <x:f>IF(COUNTIFS($M$14:$M$43,"&gt;="&amp;M16,$G$14:$G$43,"&lt;"&amp;G16)+COUNTIFS($M$14:$M$43,"&gt;"&amp;M16,$G$14:$G$43,"&lt;="&amp;G16)=0,G16,NA())</x:f>
        <x:v>1.9078530827537175</x:v>
      </x:c>
      <x:c r="AD29" s="257" t="e">
        <x:f>NA()</x:f>
        <x:v>#N/A</x:v>
      </x:c>
    </x:row>
    <x:row r="30" ht="25" customHeight="1">
      <x:c r="A30"/>
      <x:c r="B30"/>
      <x:c r="C30" s="213" t="str">
        <x:v>B6</x:v>
      </x:c>
      <x:c r="D30" s="216" t="n">
        <x:v>0.884955936646671</x:v>
      </x:c>
      <x:c r="E30" s="216" t="n">
        <x:v>0.5612196489819326</x:v>
      </x:c>
      <x:c r="F30" s="216" t="n">
        <x:v>1.963261317892466</x:v>
      </x:c>
      <x:c r="G30" s="222" t="n">
        <x:v>2.83456914157723</x:v>
      </x:c>
      <x:c r="H30" s="216" t="n">
        <x:v>5.256248193978098</x:v>
      </x:c>
      <x:c r="I30" s="216" t="n">
        <x:v>6.647202413994819</x:v>
      </x:c>
      <x:c r="J30" s="222" t="n">
        <x:f>L30/U30</x:f>
        <x:v>3.8382908412833907</x:v>
      </x:c>
      <x:c r="K30"/>
      <x:c r="L30" s="223" t="n">
        <x:v>1000</x:v>
      </x:c>
      <x:c r="M30" s="224" t="n">
        <x:v>4</x:v>
      </x:c>
      <x:c r="N30" s="216" t="n">
        <x:v>3.8421605760036526</x:v>
      </x:c>
      <x:c r="O30" s="225" t="n">
        <x:v>12</x:v>
      </x:c>
      <x:c r="P30"/>
      <x:c r="Q30"/>
      <x:c r="R30" s="226" t="n">
        <x:v>12</x:v>
      </x:c>
      <x:c r="S30" s="226" t="n">
        <x:v>0</x:v>
      </x:c>
      <x:c r="T30" s="226" t="n">
        <x:v>10</x:v>
      </x:c>
      <x:c r="U30" s="227" t="n">
        <x:v>260.53262802399695</x:v>
      </x:c>
      <x:c r="V30"/>
      <x:c r="W30"/>
      <x:c r="X30"/>
      <x:c r="Y30"/>
      <x:c r="Z30" s="2"/>
      <x:c r="AA30" s="257" t="n">
        <x:f>M17</x:f>
        <x:v>2</x:v>
      </x:c>
      <x:c r="AB30" s="257" t="n">
        <x:f>G17</x:f>
        <x:v>2.466873035416938</x:v>
      </x:c>
      <x:c r="AC30" s="257" t="e">
        <x:f>IF(COUNTIFS($M$14:$M$43,"&gt;="&amp;M17,$G$14:$G$43,"&lt;"&amp;G17)+COUNTIFS($M$14:$M$43,"&gt;"&amp;M17,$G$14:$G$43,"&lt;="&amp;G17)=0,G17,NA())</x:f>
        <x:v>#N/A</x:v>
      </x:c>
      <x:c r="AD30" s="257" t="e">
        <x:f>NA()</x:f>
        <x:v>#N/A</x:v>
      </x:c>
    </x:row>
    <x:row r="31" ht="25" customHeight="1">
      <x:c r="A31"/>
      <x:c r="B31"/>
      <x:c r="C31" s="234" t="str">
        <x:v>B6</x:v>
      </x:c>
      <x:c r="D31" s="237" t="n">
        <x:v>1.0486139416844817</x:v>
      </x:c>
      <x:c r="E31" s="237" t="n">
        <x:v>0.7058892874629237</x:v>
      </x:c>
      <x:c r="F31" s="237" t="n">
        <x:v>2.171337917516939</x:v>
      </x:c>
      <x:c r="G31" s="243" t="n">
        <x:v>3.109860787377691</x:v>
      </x:c>
      <x:c r="H31" s="237" t="n">
        <x:v>5.763507674890569</x:v>
      </x:c>
      <x:c r="I31" s="237" t="n">
        <x:v>7.205607514944859</x:v>
      </x:c>
      <x:c r="J31" s="243" t="n">
        <x:f>L31/U31</x:f>
        <x:v>4.7920575300136905</x:v>
      </x:c>
      <x:c r="K31"/>
      <x:c r="L31" s="244" t="n">
        <x:v>1000</x:v>
      </x:c>
      <x:c r="M31" s="245" t="n">
        <x:v>5</x:v>
      </x:c>
      <x:c r="N31" s="237" t="n">
        <x:v>4.802694257958003</x:v>
      </x:c>
      <x:c r="O31" s="246" t="n">
        <x:v>14</x:v>
      </x:c>
      <x:c r="P31"/>
      <x:c r="Q31"/>
      <x:c r="R31" s="247" t="n">
        <x:v>15</x:v>
      </x:c>
      <x:c r="S31" s="247" t="n">
        <x:v>0</x:v>
      </x:c>
      <x:c r="T31" s="247" t="n">
        <x:v>10</x:v>
      </x:c>
      <x:c r="U31" s="248" t="n">
        <x:v>208.67862994899042</x:v>
      </x:c>
      <x:c r="V31"/>
      <x:c r="W31"/>
      <x:c r="X31"/>
      <x:c r="Y31"/>
      <x:c r="Z31" s="2"/>
      <x:c r="AA31" s="257" t="n">
        <x:f>M18</x:f>
        <x:v>2.5</x:v>
      </x:c>
      <x:c r="AB31" s="257" t="n">
        <x:f>G18</x:f>
        <x:v>3.33923458122881</x:v>
      </x:c>
      <x:c r="AC31" s="257" t="e">
        <x:f>IF(COUNTIFS($M$14:$M$43,"&gt;="&amp;M18,$G$14:$G$43,"&lt;"&amp;G18)+COUNTIFS($M$14:$M$43,"&gt;"&amp;M18,$G$14:$G$43,"&lt;="&amp;G18)=0,G18,NA())</x:f>
        <x:v>#N/A</x:v>
      </x:c>
      <x:c r="AD31" s="257" t="e">
        <x:f>NA()</x:f>
        <x:v>#N/A</x:v>
      </x:c>
    </x:row>
    <x:row r="32" ht="25" customHeight="1">
      <x:c r="A32"/>
      <x:c r="B32"/>
      <x:c r="C32" s="213" t="str">
        <x:v>B6</x:v>
      </x:c>
      <x:c r="D32" s="216" t="n">
        <x:v>1.1758213024642319</x:v>
      </x:c>
      <x:c r="E32" s="216" t="n">
        <x:v>0.8525995704694651</x:v>
      </x:c>
      <x:c r="F32" s="216" t="n">
        <x:v>2.4034645565785473</x:v>
      </x:c>
      <x:c r="G32" s="222" t="n">
        <x:v>3.352429636754095</x:v>
      </x:c>
      <x:c r="H32" s="216" t="n">
        <x:v>6.120825318631249</x:v>
      </x:c>
      <x:c r="I32" s="216" t="n">
        <x:v>7.978901846916415</x:v>
      </x:c>
      <x:c r="J32" s="222" t="n">
        <x:f>L32/U32</x:f>
        <x:v>5.266985448654831</x:v>
      </x:c>
      <x:c r="K32"/>
      <x:c r="L32" s="223" t="n">
        <x:v>1000</x:v>
      </x:c>
      <x:c r="M32" s="224" t="n">
        <x:v>5.5</x:v>
      </x:c>
      <x:c r="N32" s="216" t="n">
        <x:v>5.282970540409252</x:v>
      </x:c>
      <x:c r="O32" s="225" t="n">
        <x:v>14</x:v>
      </x:c>
      <x:c r="P32"/>
      <x:c r="Q32"/>
      <x:c r="R32" s="226" t="n">
        <x:v>17</x:v>
      </x:c>
      <x:c r="S32" s="226" t="n">
        <x:v>0</x:v>
      </x:c>
      <x:c r="T32" s="226" t="n">
        <x:v>10</x:v>
      </x:c>
      <x:c r="U32" s="227" t="n">
        <x:v>189.86192571604624</x:v>
      </x:c>
      <x:c r="V32"/>
      <x:c r="W32"/>
      <x:c r="X32"/>
      <x:c r="Y32"/>
      <x:c r="Z32" s="2"/>
      <x:c r="AA32" s="257" t="n">
        <x:f>M19</x:f>
        <x:v>3</x:v>
      </x:c>
      <x:c r="AB32" s="257" t="n">
        <x:f>G19</x:f>
        <x:v>4.295728808396961</x:v>
      </x:c>
      <x:c r="AC32" s="257" t="e">
        <x:f>IF(COUNTIFS($M$14:$M$43,"&gt;="&amp;M19,$G$14:$G$43,"&lt;"&amp;G19)+COUNTIFS($M$14:$M$43,"&gt;"&amp;M19,$G$14:$G$43,"&lt;="&amp;G19)=0,G19,NA())</x:f>
        <x:v>#N/A</x:v>
      </x:c>
      <x:c r="AD32" s="257" t="e">
        <x:f>NA()</x:f>
        <x:v>#N/A</x:v>
      </x:c>
    </x:row>
    <x:row r="33" ht="25" customHeight="1">
      <x:c r="A33"/>
      <x:c r="B33"/>
      <x:c r="C33" s="234" t="str">
        <x:v>B7</x:v>
      </x:c>
      <x:c r="D33" s="237" t="n">
        <x:v>1.0987534799028653</x:v>
      </x:c>
      <x:c r="E33" s="237" t="n">
        <x:v>0.7140499905217439</x:v>
      </x:c>
      <x:c r="F33" s="237" t="n">
        <x:v>2.333286581921857</x:v>
      </x:c>
      <x:c r="G33" s="243" t="n">
        <x:v>3.3634632792440233</x:v>
      </x:c>
      <x:c r="H33" s="237" t="n">
        <x:v>6.41388132781838</x:v>
      </x:c>
      <x:c r="I33" s="237" t="n">
        <x:v>7.7744216319406405</x:v>
      </x:c>
      <x:c r="J33" s="243" t="n">
        <x:f>L33/U33</x:f>
        <x:v>4.788888661629279</x:v>
      </x:c>
      <x:c r="K33"/>
      <x:c r="L33" s="244" t="n">
        <x:v>1000</x:v>
      </x:c>
      <x:c r="M33" s="245" t="n">
        <x:v>5</x:v>
      </x:c>
      <x:c r="N33" s="237" t="n">
        <x:v>4.802693281810579</x:v>
      </x:c>
      <x:c r="O33" s="246" t="n">
        <x:v>14</x:v>
      </x:c>
      <x:c r="P33"/>
      <x:c r="Q33"/>
      <x:c r="R33" s="247" t="n">
        <x:v>15</x:v>
      </x:c>
      <x:c r="S33" s="247" t="n">
        <x:v>0</x:v>
      </x:c>
      <x:c r="T33" s="247" t="n">
        <x:v>10</x:v>
      </x:c>
      <x:c r="U33" s="248" t="n">
        <x:v>208.81671524595004</x:v>
      </x:c>
      <x:c r="V33"/>
      <x:c r="W33" s="251" t="str">
        <x:v>Chart source: screening frontier</x:v>
      </x:c>
      <x:c r="X33" s="251"/>
      <x:c r="Y33" s="251"/>
      <x:c r="Z33" s="2"/>
      <x:c r="AA33" s="257" t="n">
        <x:f>M20</x:f>
        <x:v>2</x:v>
      </x:c>
      <x:c r="AB33" s="257" t="n">
        <x:f>G20</x:f>
        <x:v>2.17845799459028</x:v>
      </x:c>
      <x:c r="AC33" s="257" t="n">
        <x:f>IF(COUNTIFS($M$14:$M$43,"&gt;="&amp;M20,$G$14:$G$43,"&lt;"&amp;G20)+COUNTIFS($M$14:$M$43,"&gt;"&amp;M20,$G$14:$G$43,"&lt;="&amp;G20)=0,G20,NA())</x:f>
        <x:v>2.17845799459028</x:v>
      </x:c>
      <x:c r="AD33" s="257" t="e">
        <x:f>NA()</x:f>
        <x:v>#N/A</x:v>
      </x:c>
    </x:row>
    <x:row r="34" ht="25" customHeight="1">
      <x:c r="A34"/>
      <x:c r="B34"/>
      <x:c r="C34" s="213" t="str">
        <x:v>B7</x:v>
      </x:c>
      <x:c r="D34" s="216" t="n">
        <x:v>1.4094411460555858</x:v>
      </x:c>
      <x:c r="E34" s="216" t="n">
        <x:v>1.0558809404610656</x:v>
      </x:c>
      <x:c r="F34" s="216" t="n">
        <x:v>2.8854495265171862</x:v>
      </x:c>
      <x:c r="G34" s="222" t="n">
        <x:v>3.921986427536464</x:v>
      </x:c>
      <x:c r="H34" s="216" t="n">
        <x:v>7.194309145576551</x:v>
      </x:c>
      <x:c r="I34" s="216" t="n">
        <x:v>8.897429197910242</x:v>
      </x:c>
      <x:c r="J34" s="222" t="n">
        <x:f>L34/U34</x:f>
        <x:v>5.735918144176315</x:v>
      </x:c>
      <x:c r="K34"/>
      <x:c r="L34" s="223" t="n">
        <x:v>1000</x:v>
      </x:c>
      <x:c r="M34" s="224" t="n">
        <x:v>6</x:v>
      </x:c>
      <x:c r="N34" s="216" t="n">
        <x:v>5.763220449717966</x:v>
      </x:c>
      <x:c r="O34" s="225" t="n">
        <x:v>15</x:v>
      </x:c>
      <x:c r="P34"/>
      <x:c r="Q34"/>
      <x:c r="R34" s="226" t="n">
        <x:v>21</x:v>
      </x:c>
      <x:c r="S34" s="226" t="n">
        <x:v>0</x:v>
      </x:c>
      <x:c r="T34" s="226" t="n">
        <x:v>10</x:v>
      </x:c>
      <x:c r="U34" s="227" t="n">
        <x:v>174.34000535996165</x:v>
      </x:c>
      <x:c r="V34"/>
      <x:c r="W34" s="251" t="str">
        <x:v>Target QPS</x:v>
      </x:c>
      <x:c r="X34" s="251" t="str">
        <x:v>Best P95(s)</x:v>
      </x:c>
      <x:c r="Y34" s="251" t="str">
        <x:v>Pareto P95(s)</x:v>
      </x:c>
      <x:c r="Z34" s="2"/>
      <x:c r="AA34" s="257" t="n">
        <x:f>M21</x:f>
        <x:v>3</x:v>
      </x:c>
      <x:c r="AB34" s="257" t="n">
        <x:f>G21</x:f>
        <x:v>2.5341828296950553</x:v>
      </x:c>
      <x:c r="AC34" s="257" t="e">
        <x:f>IF(COUNTIFS($M$14:$M$43,"&gt;="&amp;M21,$G$14:$G$43,"&lt;"&amp;G21)+COUNTIFS($M$14:$M$43,"&gt;"&amp;M21,$G$14:$G$43,"&lt;="&amp;G21)=0,G21,NA())</x:f>
        <x:v>#N/A</x:v>
      </x:c>
      <x:c r="AD34" s="257" t="e">
        <x:f>NA()</x:f>
        <x:v>#N/A</x:v>
      </x:c>
    </x:row>
    <x:row r="35" ht="25" customHeight="1">
      <x:c r="A35"/>
      <x:c r="B35"/>
      <x:c r="C35" s="234" t="str">
        <x:v>B8</x:v>
      </x:c>
      <x:c r="D35" s="237" t="n">
        <x:v>0.8949730728083523</x:v>
      </x:c>
      <x:c r="E35" s="237" t="n">
        <x:v>0.537529606022872</x:v>
      </x:c>
      <x:c r="F35" s="237" t="n">
        <x:v>1.986983808595688</x:v>
      </x:c>
      <x:c r="G35" s="243" t="n">
        <x:v>2.962285682349466</x:v>
      </x:c>
      <x:c r="H35" s="237" t="n">
        <x:v>5.64818650121102</x:v>
      </x:c>
      <x:c r="I35" s="237" t="n">
        <x:v>6.854056989075616</x:v>
      </x:c>
      <x:c r="J35" s="243" t="n">
        <x:f>L35/U35</x:f>
        <x:v>2.879957999779886</x:v>
      </x:c>
      <x:c r="K35"/>
      <x:c r="L35" s="244" t="n">
        <x:v>1000</x:v>
      </x:c>
      <x:c r="M35" s="245" t="n">
        <x:v>3</x:v>
      </x:c>
      <x:c r="N35" s="237" t="n">
        <x:v>2.881620152852355</x:v>
      </x:c>
      <x:c r="O35" s="246" t="n">
        <x:v>10</x:v>
      </x:c>
      <x:c r="P35"/>
      <x:c r="Q35"/>
      <x:c r="R35" s="247" t="n">
        <x:v>10</x:v>
      </x:c>
      <x:c r="S35" s="247" t="n">
        <x:v>0</x:v>
      </x:c>
      <x:c r="T35" s="247" t="n">
        <x:v>10</x:v>
      </x:c>
      <x:c r="U35" s="248" t="n">
        <x:v>347.22728598001413</x:v>
      </x:c>
      <x:c r="V35"/>
      <x:c r="W35" s="253" t="n">
        <x:v>1</x:v>
      </x:c>
      <x:c r="X35" s="253" t="n">
        <x:f>MIN(G14,G16)</x:f>
        <x:v>1.9078530827537175</x:v>
      </x:c>
      <x:c r="Y35" s="253" t="n">
        <x:f>IF(X35&lt;MIN(X36:X48),X35,NA())</x:f>
        <x:v>1.9078530827537175</x:v>
      </x:c>
      <x:c r="Z35" s="2"/>
      <x:c r="AA35" s="257" t="n">
        <x:f>M22</x:f>
        <x:v>3.5</x:v>
      </x:c>
      <x:c r="AB35" s="257" t="n">
        <x:f>G22</x:f>
        <x:v>2.9002190178027374</x:v>
      </x:c>
      <x:c r="AC35" s="257" t="e">
        <x:f>IF(COUNTIFS($M$14:$M$43,"&gt;="&amp;M22,$G$14:$G$43,"&lt;"&amp;G22)+COUNTIFS($M$14:$M$43,"&gt;"&amp;M22,$G$14:$G$43,"&lt;="&amp;G22)=0,G22,NA())</x:f>
        <x:v>#N/A</x:v>
      </x:c>
      <x:c r="AD35" s="257" t="e">
        <x:f>NA()</x:f>
        <x:v>#N/A</x:v>
      </x:c>
    </x:row>
    <x:row r="36" ht="25" customHeight="1">
      <x:c r="A36"/>
      <x:c r="B36"/>
      <x:c r="C36" s="213" t="str">
        <x:v>B8</x:v>
      </x:c>
      <x:c r="D36" s="216" t="n">
        <x:v>0.9730168789797462</x:v>
      </x:c>
      <x:c r="E36" s="216" t="n">
        <x:v>0.5956136875320226</x:v>
      </x:c>
      <x:c r="F36" s="216" t="n">
        <x:v>2.2042020175838846</x:v>
      </x:c>
      <x:c r="G36" s="222" t="n">
        <x:v>3.2190116259676866</x:v>
      </x:c>
      <x:c r="H36" s="216" t="n">
        <x:v>6.231159845632501</x:v>
      </x:c>
      <x:c r="I36" s="216" t="n">
        <x:v>7.486161001957953</x:v>
      </x:c>
      <x:c r="J36" s="222" t="n">
        <x:f>L36/U36</x:f>
        <x:v>3.837267657947867</x:v>
      </x:c>
      <x:c r="K36"/>
      <x:c r="L36" s="223" t="n">
        <x:v>1000</x:v>
      </x:c>
      <x:c r="M36" s="224" t="n">
        <x:v>4</x:v>
      </x:c>
      <x:c r="N36" s="216" t="n">
        <x:v>3.8421634639794435</x:v>
      </x:c>
      <x:c r="O36" s="225" t="n">
        <x:v>12</x:v>
      </x:c>
      <x:c r="P36"/>
      <x:c r="Q36"/>
      <x:c r="R36" s="226" t="n">
        <x:v>12</x:v>
      </x:c>
      <x:c r="S36" s="226" t="n">
        <x:v>0</x:v>
      </x:c>
      <x:c r="T36" s="226" t="n">
        <x:v>10</x:v>
      </x:c>
      <x:c r="U36" s="227" t="n">
        <x:v>260.6020974139683</x:v>
      </x:c>
      <x:c r="V36"/>
      <x:c r="W36" s="253" t="n">
        <x:v>1.5</x:v>
      </x:c>
      <x:c r="X36" s="253" t="n">
        <x:f>MIN(G15)</x:f>
        <x:v>5.579265592608135</x:v>
      </x:c>
      <x:c r="Y36" s="253" t="e">
        <x:f>IF(X36&lt;MIN(X37:X48),X36,NA())</x:f>
        <x:v>#N/A</x:v>
      </x:c>
      <x:c r="Z36" s="2"/>
      <x:c r="AA36" s="257" t="n">
        <x:f>M23</x:f>
        <x:v>2</x:v>
      </x:c>
      <x:c r="AB36" s="257" t="n">
        <x:f>G23</x:f>
        <x:v>2.2517878266284237</x:v>
      </x:c>
      <x:c r="AC36" s="257" t="e">
        <x:f>IF(COUNTIFS($M$14:$M$43,"&gt;="&amp;M23,$G$14:$G$43,"&lt;"&amp;G23)+COUNTIFS($M$14:$M$43,"&gt;"&amp;M23,$G$14:$G$43,"&lt;="&amp;G23)=0,G23,NA())</x:f>
        <x:v>#N/A</x:v>
      </x:c>
      <x:c r="AD36" s="257" t="e">
        <x:f>NA()</x:f>
        <x:v>#N/A</x:v>
      </x:c>
    </x:row>
    <x:row r="37" ht="25" customHeight="1">
      <x:c r="A37"/>
      <x:c r="B37"/>
      <x:c r="C37" s="234" t="str">
        <x:v>B8</x:v>
      </x:c>
      <x:c r="D37" s="237" t="n">
        <x:v>1.091697760123876</x:v>
      </x:c>
      <x:c r="E37" s="237" t="n">
        <x:v>0.6844194469740614</x:v>
      </x:c>
      <x:c r="F37" s="237" t="n">
        <x:v>2.3195013833232228</x:v>
      </x:c>
      <x:c r="G37" s="243" t="n">
        <x:v>3.5459512361558154</x:v>
      </x:c>
      <x:c r="H37" s="237" t="n">
        <x:v>6.665489310880657</x:v>
      </x:c>
      <x:c r="I37" s="237" t="n">
        <x:v>7.836150710936636</x:v>
      </x:c>
      <x:c r="J37" s="243" t="n">
        <x:f>L37/U37</x:f>
        <x:v>4.7876374570693025</x:v>
      </x:c>
      <x:c r="K37"/>
      <x:c r="L37" s="244" t="n">
        <x:v>1000</x:v>
      </x:c>
      <x:c r="M37" s="245" t="n">
        <x:v>5</x:v>
      </x:c>
      <x:c r="N37" s="237" t="n">
        <x:v>4.80269264862777</x:v>
      </x:c>
      <x:c r="O37" s="246" t="n">
        <x:v>14</x:v>
      </x:c>
      <x:c r="P37"/>
      <x:c r="Q37"/>
      <x:c r="R37" s="247" t="n">
        <x:v>15</x:v>
      </x:c>
      <x:c r="S37" s="247" t="n">
        <x:v>0</x:v>
      </x:c>
      <x:c r="T37" s="247" t="n">
        <x:v>10</x:v>
      </x:c>
      <x:c r="U37" s="248" t="n">
        <x:v>208.87128755403683</x:v>
      </x:c>
      <x:c r="V37"/>
      <x:c r="W37" s="253" t="n">
        <x:v>2</x:v>
      </x:c>
      <x:c r="X37" s="253" t="n">
        <x:f>MIN(G17,G20,G23)</x:f>
        <x:v>2.17845799459028</x:v>
      </x:c>
      <x:c r="Y37" s="253" t="n">
        <x:f>IF(X37&lt;MIN(X38:X48),X37,NA())</x:f>
        <x:v>2.17845799459028</x:v>
      </x:c>
      <x:c r="Z37" s="2"/>
      <x:c r="AA37" s="257" t="n">
        <x:f>M24</x:f>
        <x:v>3</x:v>
      </x:c>
      <x:c r="AB37" s="257" t="n">
        <x:f>G24</x:f>
        <x:v>2.4786705797363537</x:v>
      </x:c>
      <x:c r="AC37" s="257" t="n">
        <x:f>IF(COUNTIFS($M$14:$M$43,"&gt;="&amp;M24,$G$14:$G$43,"&lt;"&amp;G24)+COUNTIFS($M$14:$M$43,"&gt;"&amp;M24,$G$14:$G$43,"&lt;="&amp;G24)=0,G24,NA())</x:f>
        <x:v>2.4786705797363537</x:v>
      </x:c>
      <x:c r="AD37" s="257" t="e">
        <x:f>NA()</x:f>
        <x:v>#N/A</x:v>
      </x:c>
    </x:row>
    <x:row r="38" ht="25" customHeight="1">
      <x:c r="A38"/>
      <x:c r="B38"/>
      <x:c r="C38" s="213" t="str">
        <x:v>B8</x:v>
      </x:c>
      <x:c r="D38" s="216" t="n">
        <x:v>1.2906043895765906</x:v>
      </x:c>
      <x:c r="E38" s="216" t="n">
        <x:v>0.8758256154833362</x:v>
      </x:c>
      <x:c r="F38" s="216" t="n">
        <x:v>2.72549925892381</x:v>
      </x:c>
      <x:c r="G38" s="222" t="n">
        <x:v>3.7762606723117633</x:v>
      </x:c>
      <x:c r="H38" s="216" t="n">
        <x:v>7.2810133270069475</x:v>
      </x:c>
      <x:c r="I38" s="216" t="n">
        <x:v>8.554178313934244</x:v>
      </x:c>
      <x:c r="J38" s="222" t="n">
        <x:f>L38/U38</x:f>
        <x:v>5.733797109417814</x:v>
      </x:c>
      <x:c r="K38"/>
      <x:c r="L38" s="223" t="n">
        <x:v>1000</x:v>
      </x:c>
      <x:c r="M38" s="224" t="n">
        <x:v>6</x:v>
      </x:c>
      <x:c r="N38" s="216" t="n">
        <x:v>5.763191692400746</x:v>
      </x:c>
      <x:c r="O38" s="225" t="n">
        <x:v>15</x:v>
      </x:c>
      <x:c r="P38"/>
      <x:c r="Q38"/>
      <x:c r="R38" s="226" t="n">
        <x:v>20</x:v>
      </x:c>
      <x:c r="S38" s="226" t="n">
        <x:v>0</x:v>
      </x:c>
      <x:c r="T38" s="226" t="n">
        <x:v>10</x:v>
      </x:c>
      <x:c r="U38" s="227" t="n">
        <x:v>174.40449686604552</x:v>
      </x:c>
      <x:c r="V38"/>
      <x:c r="W38" s="253" t="n">
        <x:v>2.5</x:v>
      </x:c>
      <x:c r="X38" s="253" t="n">
        <x:f>MIN(G18)</x:f>
        <x:v>3.33923458122881</x:v>
      </x:c>
      <x:c r="Y38" s="253" t="e">
        <x:f>IF(X38&lt;MIN(X39:X48),X38,NA())</x:f>
        <x:v>#N/A</x:v>
      </x:c>
      <x:c r="Z38" s="2"/>
      <x:c r="AA38" s="257" t="n">
        <x:f>M25</x:f>
        <x:v>4</x:v>
      </x:c>
      <x:c r="AB38" s="257" t="n">
        <x:f>G25</x:f>
        <x:v>2.861482815077761</x:v>
      </x:c>
      <x:c r="AC38" s="257" t="e">
        <x:f>IF(COUNTIFS($M$14:$M$43,"&gt;="&amp;M25,$G$14:$G$43,"&lt;"&amp;G25)+COUNTIFS($M$14:$M$43,"&gt;"&amp;M25,$G$14:$G$43,"&lt;="&amp;G25)=0,G25,NA())</x:f>
        <x:v>#N/A</x:v>
      </x:c>
      <x:c r="AD38" s="257" t="e">
        <x:f>NA()</x:f>
        <x:v>#N/A</x:v>
      </x:c>
    </x:row>
    <x:row r="39" ht="25" customHeight="1">
      <x:c r="A39"/>
      <x:c r="B39"/>
      <x:c r="C39" s="234" t="str">
        <x:v>B8</x:v>
      </x:c>
      <x:c r="D39" s="237" t="n">
        <x:v>1.486428369618603</x:v>
      </x:c>
      <x:c r="E39" s="237" t="n">
        <x:v>1.1059016860672273</x:v>
      </x:c>
      <x:c r="F39" s="237" t="n">
        <x:v>3.0610686244908725</x:v>
      </x:c>
      <x:c r="G39" s="243" t="n">
        <x:v>4.032603641098829</x:v>
      </x:c>
      <x:c r="H39" s="237" t="n">
        <x:v>7.620387770938685</x:v>
      </x:c>
      <x:c r="I39" s="237" t="n">
        <x:v>9.282857068930753</x:v>
      </x:c>
      <x:c r="J39" s="243" t="n">
        <x:f>L39/U39</x:f>
        <x:v>6.205455034928355</x:v>
      </x:c>
      <x:c r="K39"/>
      <x:c r="L39" s="244" t="n">
        <x:v>1000</x:v>
      </x:c>
      <x:c r="M39" s="245" t="n">
        <x:v>6.5</x:v>
      </x:c>
      <x:c r="N39" s="237" t="n">
        <x:v>6.243469525751192</x:v>
      </x:c>
      <x:c r="O39" s="246" t="n">
        <x:v>16</x:v>
      </x:c>
      <x:c r="P39"/>
      <x:c r="Q39"/>
      <x:c r="R39" s="247" t="n">
        <x:v>24</x:v>
      </x:c>
      <x:c r="S39" s="247" t="n">
        <x:v>0</x:v>
      </x:c>
      <x:c r="T39" s="247" t="n">
        <x:v>10</x:v>
      </x:c>
      <x:c r="U39" s="248" t="n">
        <x:v>161.14853695197962</x:v>
      </x:c>
      <x:c r="V39"/>
      <x:c r="W39" s="253" t="n">
        <x:v>3</x:v>
      </x:c>
      <x:c r="X39" s="253" t="n">
        <x:f>MIN(G19,G21,G24,G27,G35)</x:f>
        <x:v>2.4786705797363537</x:v>
      </x:c>
      <x:c r="Y39" s="253" t="n">
        <x:f>IF(X39&lt;MIN(X40:X48),X39,NA())</x:f>
        <x:v>2.4786705797363537</x:v>
      </x:c>
      <x:c r="Z39" s="2"/>
      <x:c r="AA39" s="257" t="n">
        <x:f>M26</x:f>
        <x:v>4.5</x:v>
      </x:c>
      <x:c r="AB39" s="257" t="n">
        <x:f>G26</x:f>
        <x:v>3.0991119307989705</x:v>
      </x:c>
      <x:c r="AC39" s="257" t="e">
        <x:f>IF(COUNTIFS($M$14:$M$43,"&gt;="&amp;M26,$G$14:$G$43,"&lt;"&amp;G26)+COUNTIFS($M$14:$M$43,"&gt;"&amp;M26,$G$14:$G$43,"&lt;="&amp;G26)=0,G26,NA())</x:f>
        <x:v>#N/A</x:v>
      </x:c>
      <x:c r="AD39" s="257" t="e">
        <x:f>NA()</x:f>
        <x:v>#N/A</x:v>
      </x:c>
    </x:row>
    <x:row r="40" ht="25" customHeight="1">
      <x:c r="A40"/>
      <x:c r="B40"/>
      <x:c r="C40" s="213" t="str">
        <x:v>B16</x:v>
      </x:c>
      <x:c r="D40" s="216" t="n">
        <x:v>1.2714240257870406</x:v>
      </x:c>
      <x:c r="E40" s="216" t="n">
        <x:v>0.7421082424698398</x:v>
      </x:c>
      <x:c r="F40" s="216" t="n">
        <x:v>2.9749613052583306</x:v>
      </x:c>
      <x:c r="G40" s="222" t="n">
        <x:v>4.22760043486487</x:v>
      </x:c>
      <x:c r="H40" s="216" t="n">
        <x:v>8.502948155228514</x:v>
      </x:c>
      <x:c r="I40" s="216" t="n">
        <x:v>9.655174177023582</x:v>
      </x:c>
      <x:c r="J40" s="222" t="n">
        <x:f>L40/U40</x:f>
        <x:v>3.82889671212444</x:v>
      </x:c>
      <x:c r="K40"/>
      <x:c r="L40" s="223" t="n">
        <x:v>1000</x:v>
      </x:c>
      <x:c r="M40" s="224" t="n">
        <x:v>4</x:v>
      </x:c>
      <x:c r="N40" s="216" t="n">
        <x:v>3.8421688599752866</x:v>
      </x:c>
      <x:c r="O40" s="225" t="n">
        <x:v>12</x:v>
      </x:c>
      <x:c r="P40"/>
      <x:c r="Q40"/>
      <x:c r="R40" s="226" t="n">
        <x:v>14</x:v>
      </x:c>
      <x:c r="S40" s="226" t="n">
        <x:v>0</x:v>
      </x:c>
      <x:c r="T40" s="226" t="n">
        <x:v>10</x:v>
      </x:c>
      <x:c r="U40" s="227" t="n">
        <x:v>261.17184013698716</x:v>
      </x:c>
      <x:c r="V40"/>
      <x:c r="W40" s="253" t="n">
        <x:v>3.5</x:v>
      </x:c>
      <x:c r="X40" s="253" t="n">
        <x:f>MIN(G22)</x:f>
        <x:v>2.9002190178027374</x:v>
      </x:c>
      <x:c r="Y40" s="253" t="e">
        <x:f>IF(X40&lt;MIN(X41:X48),X40,NA())</x:f>
        <x:v>#N/A</x:v>
      </x:c>
      <x:c r="Z40" s="2"/>
      <x:c r="AA40" s="257" t="n">
        <x:f>M27</x:f>
        <x:v>3</x:v>
      </x:c>
      <x:c r="AB40" s="257" t="n">
        <x:f>G27</x:f>
        <x:v>2.514417991338994</x:v>
      </x:c>
      <x:c r="AC40" s="257" t="e">
        <x:f>IF(COUNTIFS($M$14:$M$43,"&gt;="&amp;M27,$G$14:$G$43,"&lt;"&amp;G27)+COUNTIFS($M$14:$M$43,"&gt;"&amp;M27,$G$14:$G$43,"&lt;="&amp;G27)=0,G27,NA())</x:f>
        <x:v>#N/A</x:v>
      </x:c>
      <x:c r="AD40" s="257" t="e">
        <x:f>NA()</x:f>
        <x:v>#N/A</x:v>
      </x:c>
    </x:row>
    <x:row r="41" ht="25" customHeight="1">
      <x:c r="A41"/>
      <x:c r="B41"/>
      <x:c r="C41" s="234" t="str">
        <x:v>B16</x:v>
      </x:c>
      <x:c r="D41" s="237" t="n">
        <x:v>1.528863243736676</x:v>
      </x:c>
      <x:c r="E41" s="237" t="n">
        <x:v>0.9021268875221722</x:v>
      </x:c>
      <x:c r="F41" s="237" t="n">
        <x:v>3.452327575476375</x:v>
      </x:c>
      <x:c r="G41" s="243" t="n">
        <x:v>4.995519616513044</x:v>
      </x:c>
      <x:c r="H41" s="237" t="n">
        <x:v>9.972229199005524</x:v>
      </x:c>
      <x:c r="I41" s="237" t="n">
        <x:v>11.033404920017347</x:v>
      </x:c>
      <x:c r="J41" s="243" t="n">
        <x:f>L41/U41</x:f>
        <x:v>5.71521323346648</x:v>
      </x:c>
      <x:c r="K41"/>
      <x:c r="L41" s="244" t="n">
        <x:v>1000</x:v>
      </x:c>
      <x:c r="M41" s="245" t="n">
        <x:v>6</x:v>
      </x:c>
      <x:c r="N41" s="237" t="n">
        <x:v>5.763218019663587</x:v>
      </x:c>
      <x:c r="O41" s="246" t="n">
        <x:v>15</x:v>
      </x:c>
      <x:c r="P41"/>
      <x:c r="Q41"/>
      <x:c r="R41" s="247" t="n">
        <x:v>23</x:v>
      </x:c>
      <x:c r="S41" s="247" t="n">
        <x:v>0</x:v>
      </x:c>
      <x:c r="T41" s="247" t="n">
        <x:v>10</x:v>
      </x:c>
      <x:c r="U41" s="248" t="n">
        <x:v>174.97159933496732</x:v>
      </x:c>
      <x:c r="V41"/>
      <x:c r="W41" s="253" t="n">
        <x:v>4</x:v>
      </x:c>
      <x:c r="X41" s="253" t="n">
        <x:f>MIN(G25,G28,G30,G36,G40)</x:f>
        <x:v>2.83456914157723</x:v>
      </x:c>
      <x:c r="Y41" s="253" t="n">
        <x:f>IF(X41&lt;MIN(X42:X48),X41,NA())</x:f>
        <x:v>2.83456914157723</x:v>
      </x:c>
      <x:c r="Z41" s="2"/>
      <x:c r="AA41" s="257" t="n">
        <x:f>M28</x:f>
        <x:v>4</x:v>
      </x:c>
      <x:c r="AB41" s="257" t="n">
        <x:f>G28</x:f>
        <x:v>2.876082692487398</x:v>
      </x:c>
      <x:c r="AC41" s="257" t="e">
        <x:f>IF(COUNTIFS($M$14:$M$43,"&gt;="&amp;M28,$G$14:$G$43,"&lt;"&amp;G28)+COUNTIFS($M$14:$M$43,"&gt;"&amp;M28,$G$14:$G$43,"&lt;="&amp;G28)=0,G28,NA())</x:f>
        <x:v>#N/A</x:v>
      </x:c>
      <x:c r="AD41" s="257" t="e">
        <x:f>NA()</x:f>
        <x:v>#N/A</x:v>
      </x:c>
    </x:row>
    <x:row r="42" ht="25" customHeight="1">
      <x:c r="A42"/>
      <x:c r="B42"/>
      <x:c r="C42" s="213" t="str">
        <x:v>B16</x:v>
      </x:c>
      <x:c r="D42" s="216" t="n">
        <x:v>1.7103821161964443</x:v>
      </x:c>
      <x:c r="E42" s="216" t="n">
        <x:v>1.0436849380494095</x:v>
      </x:c>
      <x:c r="F42" s="216" t="n">
        <x:v>3.763564946816769</x:v>
      </x:c>
      <x:c r="G42" s="222" t="n">
        <x:v>5.623201965418408</x:v>
      </x:c>
      <x:c r="H42" s="216" t="n">
        <x:v>11.098349863735493</x:v>
      </x:c>
      <x:c r="I42" s="216" t="n">
        <x:v>12.055577663006261</x:v>
      </x:c>
      <x:c r="J42" s="222" t="n">
        <x:f>L42/U42</x:f>
        <x:v>6.650621568829461</x:v>
      </x:c>
      <x:c r="K42"/>
      <x:c r="L42" s="223" t="n">
        <x:v>1000</x:v>
      </x:c>
      <x:c r="M42" s="224" t="n">
        <x:v>7</x:v>
      </x:c>
      <x:c r="N42" s="216" t="n">
        <x:v>6.723742842166493</x:v>
      </x:c>
      <x:c r="O42" s="225" t="n">
        <x:v>16</x:v>
      </x:c>
      <x:c r="P42"/>
      <x:c r="Q42"/>
      <x:c r="R42" s="226" t="n">
        <x:v>28</x:v>
      </x:c>
      <x:c r="S42" s="226" t="n">
        <x:v>0</x:v>
      </x:c>
      <x:c r="T42" s="226" t="n">
        <x:v>10</x:v>
      </x:c>
      <x:c r="U42" s="227" t="n">
        <x:v>150.3618856749963</x:v>
      </x:c>
      <x:c r="V42"/>
      <x:c r="W42" s="253" t="n">
        <x:v>4.5</x:v>
      </x:c>
      <x:c r="X42" s="253" t="n">
        <x:f>MIN(G26)</x:f>
        <x:v>3.0991119307989705</x:v>
      </x:c>
      <x:c r="Y42" s="253" t="e">
        <x:f>IF(X42&lt;MIN(X43:X48),X42,NA())</x:f>
        <x:v>#N/A</x:v>
      </x:c>
      <x:c r="AA42" s="257" t="n">
        <x:f>M29</x:f>
        <x:v>5</x:v>
      </x:c>
      <x:c r="AB42" s="257" t="n">
        <x:f>G29</x:f>
        <x:v>3.051628623047141</x:v>
      </x:c>
      <x:c r="AC42" s="257" t="n">
        <x:f>IF(COUNTIFS($M$14:$M$43,"&gt;="&amp;M29,$G$14:$G$43,"&lt;"&amp;G29)+COUNTIFS($M$14:$M$43,"&gt;"&amp;M29,$G$14:$G$43,"&lt;="&amp;G29)=0,G29,NA())</x:f>
        <x:v>3.051628623047141</x:v>
      </x:c>
      <x:c r="AD42" s="257" t="e">
        <x:f>NA()</x:f>
        <x:v>#N/A</x:v>
      </x:c>
    </x:row>
    <x:row r="43" ht="25" customHeight="1">
      <x:c r="A43"/>
      <x:c r="B43"/>
      <x:c r="C43" s="234" t="str">
        <x:v>B16</x:v>
      </x:c>
      <x:c r="D43" s="237" t="n">
        <x:v>2.0132487942692823</x:v>
      </x:c>
      <x:c r="E43" s="237" t="n">
        <x:v>1.3612899109721184</x:v>
      </x:c>
      <x:c r="F43" s="237" t="n">
        <x:v>4.3620776742580345</x:v>
      </x:c>
      <x:c r="G43" s="243" t="n">
        <x:v>6.111541723075783</x:v>
      </x:c>
      <x:c r="H43" s="237" t="n">
        <x:v>12.704372777129757</x:v>
      </x:c>
      <x:c r="I43" s="237" t="n">
        <x:v>14.87839346891269</x:v>
      </x:c>
      <x:c r="J43" s="243" t="n">
        <x:f>L43/U43</x:f>
        <x:v>7.558563516030375</x:v>
      </x:c>
      <x:c r="K43"/>
      <x:c r="L43" s="244" t="n">
        <x:v>1000</x:v>
      </x:c>
      <x:c r="M43" s="245" t="n">
        <x:v>8</x:v>
      </x:c>
      <x:c r="N43" s="237" t="n">
        <x:v>7.6842595130576745</x:v>
      </x:c>
      <x:c r="O43" s="246" t="n">
        <x:v>19</x:v>
      </x:c>
      <x:c r="P43"/>
      <x:c r="Q43"/>
      <x:c r="R43" s="247" t="n">
        <x:v>32</x:v>
      </x:c>
      <x:c r="S43" s="247" t="n">
        <x:v>0</x:v>
      </x:c>
      <x:c r="T43" s="247" t="n">
        <x:v>10</x:v>
      </x:c>
      <x:c r="U43" s="248" t="n">
        <x:v>132.30027079605497</x:v>
      </x:c>
      <x:c r="V43"/>
      <x:c r="W43" s="253" t="n">
        <x:v>5</x:v>
      </x:c>
      <x:c r="X43" s="253" t="n">
        <x:f>MIN(G29,G31,G33,G37)</x:f>
        <x:v>3.051628623047141</x:v>
      </x:c>
      <x:c r="Y43" s="253" t="n">
        <x:f>IF(X43&lt;MIN(X44:X48),X43,NA())</x:f>
        <x:v>3.051628623047141</x:v>
      </x:c>
      <x:c r="AA43" s="257" t="n">
        <x:f>M30</x:f>
        <x:v>4</x:v>
      </x:c>
      <x:c r="AB43" s="257" t="n">
        <x:f>G30</x:f>
        <x:v>2.83456914157723</x:v>
      </x:c>
      <x:c r="AC43" s="257" t="n">
        <x:f>IF(COUNTIFS($M$14:$M$43,"&gt;="&amp;M30,$G$14:$G$43,"&lt;"&amp;G30)+COUNTIFS($M$14:$M$43,"&gt;"&amp;M30,$G$14:$G$43,"&lt;="&amp;G30)=0,G30,NA())</x:f>
        <x:v>2.83456914157723</x:v>
      </x:c>
      <x:c r="AD43" s="257" t="e">
        <x:f>NA()</x:f>
        <x:v>#N/A</x:v>
      </x:c>
    </x:row>
    <x:row r="44" ht="20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 s="253" t="n">
        <x:v>5.5</x:v>
      </x:c>
      <x:c r="X44" s="253" t="n">
        <x:f>MIN(G32)</x:f>
        <x:v>3.352429636754095</x:v>
      </x:c>
      <x:c r="Y44" s="253" t="n">
        <x:f>IF(X44&lt;MIN(X45:X48),X44,NA())</x:f>
        <x:v>3.352429636754095</x:v>
      </x:c>
      <x:c r="AA44" s="257" t="n">
        <x:f>M31</x:f>
        <x:v>5</x:v>
      </x:c>
      <x:c r="AB44" s="257" t="n">
        <x:f>G31</x:f>
        <x:v>3.109860787377691</x:v>
      </x:c>
      <x:c r="AC44" s="257" t="e">
        <x:f>IF(COUNTIFS($M$14:$M$43,"&gt;="&amp;M31,$G$14:$G$43,"&lt;"&amp;G31)+COUNTIFS($M$14:$M$43,"&gt;"&amp;M31,$G$14:$G$43,"&lt;="&amp;G31)=0,G31,NA())</x:f>
        <x:v>#N/A</x:v>
      </x:c>
      <x:c r="AD44" s="257" t="e">
        <x:f>NA()</x:f>
        <x:v>#N/A</x:v>
      </x:c>
    </x:row>
    <x:row r="45" ht="34" customHeight="1">
      <x:c r="A45"/>
      <x:c r="B45"/>
      <x:c r="C45" s="249" t="str">
        <x:v>Screening runs contain 1,000 requests each, not 10,000; peak counts above are measured over those 1,000 requests, never extrapolated.</x:v>
      </x:c>
      <x:c r="D45" s="249" t="str">
        <x:v>Screening runs contain 1,000 requests each, not 10,000; peak counts above are measured over those 1,000 requests, never extrapolated.</x:v>
      </x:c>
      <x:c r="E45" s="249" t="str">
        <x:v>Screening runs contain 1,000 requests each, not 10,000; peak counts above are measured over those 1,000 requests, never extrapolated.</x:v>
      </x:c>
      <x:c r="F45" s="249" t="str">
        <x:v>Screening runs contain 1,000 requests each, not 10,000; peak counts above are measured over those 1,000 requests, never extrapolated.</x:v>
      </x:c>
      <x:c r="G45" s="249" t="str">
        <x:v>Screening runs contain 1,000 requests each, not 10,000; peak counts above are measured over those 1,000 requests, never extrapolated.</x:v>
      </x:c>
      <x:c r="H45" s="249" t="str">
        <x:v>Screening runs contain 1,000 requests each, not 10,000; peak counts above are measured over those 1,000 requests, never extrapolated.</x:v>
      </x:c>
      <x:c r="I45" s="249" t="str">
        <x:v>Screening runs contain 1,000 requests each, not 10,000; peak counts above are measured over those 1,000 requests, never extrapolated.</x:v>
      </x:c>
      <x:c r="J45" s="249" t="str">
        <x:v>Screening runs contain 1,000 requests each, not 10,000; peak counts above are measured over those 1,000 requests, never extrapolated.</x:v>
      </x:c>
      <x:c r="K45" s="249" t="str">
        <x:v>Screening runs contain 1,000 requests each, not 10,000; peak counts above are measured over those 1,000 requests, never extrapolated.</x:v>
      </x:c>
      <x:c r="L45" s="249" t="str">
        <x:v>Screening runs contain 1,000 requests each, not 10,000; peak counts above are measured over those 1,000 requests, never extrapolated.</x:v>
      </x:c>
      <x:c r="M45" s="249" t="str">
        <x:v>Screening runs contain 1,000 requests each, not 10,000; peak counts above are measured over those 1,000 requests, never extrapolated.</x:v>
      </x:c>
      <x:c r="N45" s="249" t="str">
        <x:v>Screening runs contain 1,000 requests each, not 10,000; peak counts above are measured over those 1,000 requests, never extrapolated.</x:v>
      </x:c>
      <x:c r="O45" s="249" t="str">
        <x:v>Screening runs contain 1,000 requests each, not 10,000; peak counts above are measured over those 1,000 requests, never extrapolated.</x:v>
      </x:c>
      <x:c r="P45" s="249" t="str">
        <x:v>Screening runs contain 1,000 requests each, not 10,000; peak counts above are measured over those 1,000 requests, never extrapolated.</x:v>
      </x:c>
      <x:c r="Q45" s="249" t="str">
        <x:v>Screening runs contain 1,000 requests each, not 10,000; peak counts above are measured over those 1,000 requests, never extrapolated.</x:v>
      </x:c>
      <x:c r="R45" s="249" t="str">
        <x:v>Screening runs contain 1,000 requests each, not 10,000; peak counts above are measured over those 1,000 requests, never extrapolated.</x:v>
      </x:c>
      <x:c r="S45" s="249" t="str">
        <x:v>Screening runs contain 1,000 requests each, not 10,000; peak counts above are measured over those 1,000 requests, never extrapolated.</x:v>
      </x:c>
      <x:c r="T45" s="249" t="str">
        <x:v>Screening runs contain 1,000 requests each, not 10,000; peak counts above are measured over those 1,000 requests, never extrapolated.</x:v>
      </x:c>
      <x:c r="U45" s="249" t="str">
        <x:v>Screening runs contain 1,000 requests each, not 10,000; peak counts above are measured over those 1,000 requests, never extrapolated.</x:v>
      </x:c>
      <x:c r="V45"/>
      <x:c r="W45" s="253" t="n">
        <x:v>6</x:v>
      </x:c>
      <x:c r="X45" s="253" t="n">
        <x:f>MIN(G34,G38,G41)</x:f>
        <x:v>3.7762606723117633</x:v>
      </x:c>
      <x:c r="Y45" s="253" t="n">
        <x:f>IF(X45&lt;MIN(X46:X48),X45,NA())</x:f>
        <x:v>3.7762606723117633</x:v>
      </x:c>
      <x:c r="AA45" s="257" t="n">
        <x:f>M32</x:f>
        <x:v>5.5</x:v>
      </x:c>
      <x:c r="AB45" s="257" t="n">
        <x:f>G32</x:f>
        <x:v>3.352429636754095</x:v>
      </x:c>
      <x:c r="AC45" s="257" t="n">
        <x:f>IF(COUNTIFS($M$14:$M$43,"&gt;="&amp;M32,$G$14:$G$43,"&lt;"&amp;G32)+COUNTIFS($M$14:$M$43,"&gt;"&amp;M32,$G$14:$G$43,"&lt;="&amp;G32)=0,G32,NA())</x:f>
        <x:v>3.352429636754095</x:v>
      </x:c>
      <x:c r="AD45" s="257" t="e">
        <x:f>NA()</x:f>
        <x:v>#N/A</x:v>
      </x:c>
    </x:row>
    <x:row r="46" ht="20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 s="253" t="n">
        <x:v>6.5</x:v>
      </x:c>
      <x:c r="X46" s="253" t="n">
        <x:f>MIN(G39)</x:f>
        <x:v>4.032603641098829</x:v>
      </x:c>
      <x:c r="Y46" s="253" t="n">
        <x:f>IF(X46&lt;MIN(X47:X48),X46,NA())</x:f>
        <x:v>4.032603641098829</x:v>
      </x:c>
      <x:c r="AA46" s="257" t="n">
        <x:f>M33</x:f>
        <x:v>5</x:v>
      </x:c>
      <x:c r="AB46" s="257" t="n">
        <x:f>G33</x:f>
        <x:v>3.3634632792440233</x:v>
      </x:c>
      <x:c r="AC46" s="257" t="e">
        <x:f>IF(COUNTIFS($M$14:$M$43,"&gt;="&amp;M33,$G$14:$G$43,"&lt;"&amp;G33)+COUNTIFS($M$14:$M$43,"&gt;"&amp;M33,$G$14:$G$43,"&lt;="&amp;G33)=0,G33,NA())</x:f>
        <x:v>#N/A</x:v>
      </x:c>
      <x:c r="AD46" s="257" t="e">
        <x:f>NA()</x:f>
        <x:v>#N/A</x:v>
      </x:c>
    </x:row>
    <x:row r="47" ht="20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 s="253" t="n">
        <x:v>7</x:v>
      </x:c>
      <x:c r="X47" s="253" t="n">
        <x:f>MIN(G42)</x:f>
        <x:v>5.623201965418408</x:v>
      </x:c>
      <x:c r="Y47" s="253" t="n">
        <x:f>IF(X47&lt;MIN(X48:X48),X47,NA())</x:f>
        <x:v>5.623201965418408</x:v>
      </x:c>
      <x:c r="AA47" s="257" t="n">
        <x:f>M34</x:f>
        <x:v>6</x:v>
      </x:c>
      <x:c r="AB47" s="257" t="n">
        <x:f>G34</x:f>
        <x:v>3.921986427536464</x:v>
      </x:c>
      <x:c r="AC47" s="257" t="e">
        <x:f>IF(COUNTIFS($M$14:$M$43,"&gt;="&amp;M34,$G$14:$G$43,"&lt;"&amp;G34)+COUNTIFS($M$14:$M$43,"&gt;"&amp;M34,$G$14:$G$43,"&lt;="&amp;G34)=0,G34,NA())</x:f>
        <x:v>#N/A</x:v>
      </x:c>
      <x:c r="AD47" s="257" t="e">
        <x:f>NA()</x:f>
        <x:v>#N/A</x:v>
      </x:c>
    </x:row>
    <x:row r="48" ht="29" customHeight="1">
      <x:c r="A48"/>
      <x:c r="B48"/>
      <x:c r="C48" s="199" t="str">
        <x:v>Poisson serving: earlier pilot runs</x:v>
      </x:c>
      <x:c r="D48" s="199" t="str">
        <x:v>Poisson serving: earlier pilot runs</x:v>
      </x:c>
      <x:c r="E48" s="199" t="str">
        <x:v>Poisson serving: earlier pilot runs</x:v>
      </x:c>
      <x:c r="F48" s="199" t="str">
        <x:v>Poisson serving: earlier pilot runs</x:v>
      </x:c>
      <x:c r="G48" s="199" t="str">
        <x:v>Poisson serving: earlier pilot runs</x:v>
      </x:c>
      <x:c r="H48" s="199" t="str">
        <x:v>Poisson serving: earlier pilot runs</x:v>
      </x:c>
      <x:c r="I48" s="199" t="str">
        <x:v>Poisson serving: earlier pilot runs</x:v>
      </x:c>
      <x:c r="J48" s="199" t="str">
        <x:v>Poisson serving: earlier pilot runs</x:v>
      </x:c>
      <x:c r="K48"/>
      <x:c r="L48" s="199" t="str">
        <x:v>Poisson arrivals</x:v>
      </x:c>
      <x:c r="M48" s="199" t="str">
        <x:v>Poisson arrivals</x:v>
      </x:c>
      <x:c r="N48" s="199" t="str">
        <x:v>Poisson arrivals</x:v>
      </x:c>
      <x:c r="O48" s="199" t="str">
        <x:v>Poisson arrivals</x:v>
      </x:c>
      <x:c r="P48"/>
      <x:c r="Q48"/>
      <x:c r="R48" s="199" t="str">
        <x:v>Run details</x:v>
      </x:c>
      <x:c r="S48" s="199" t="str">
        <x:v>Run details</x:v>
      </x:c>
      <x:c r="T48" s="199" t="str">
        <x:v>Run details</x:v>
      </x:c>
      <x:c r="U48" s="199" t="str">
        <x:v>Run details</x:v>
      </x:c>
      <x:c r="V48"/>
      <x:c r="W48" s="253" t="n">
        <x:v>8</x:v>
      </x:c>
      <x:c r="X48" s="253" t="n">
        <x:f>MIN(G43)</x:f>
        <x:v>6.111541723075783</x:v>
      </x:c>
      <x:c r="Y48" s="253" t="n">
        <x:f>X48</x:f>
        <x:v>6.111541723075783</x:v>
      </x:c>
      <x:c r="AA48" s="257" t="n">
        <x:f>M35</x:f>
        <x:v>3</x:v>
      </x:c>
      <x:c r="AB48" s="257" t="n">
        <x:f>G35</x:f>
        <x:v>2.962285682349466</x:v>
      </x:c>
      <x:c r="AC48" s="257" t="e">
        <x:f>IF(COUNTIFS($M$14:$M$43,"&gt;="&amp;M35,$G$14:$G$43,"&lt;"&amp;G35)+COUNTIFS($M$14:$M$43,"&gt;"&amp;M35,$G$14:$G$43,"&lt;="&amp;G35)=0,G35,NA())</x:f>
        <x:v>#N/A</x:v>
      </x:c>
      <x:c r="AD48" s="257" t="e">
        <x:f>NA()</x:f>
        <x:v>#N/A</x:v>
      </x:c>
    </x:row>
    <x:row r="49" ht="37" customHeight="1">
      <x:c r="A49"/>
      <x:c r="B49"/>
      <x:c r="C49" s="206" t="str">
        <x:v>Batch</x:v>
      </x:c>
      <x:c r="D49" s="206" t="str">
        <x:v>Mean(s)</x:v>
      </x:c>
      <x:c r="E49" s="206" t="str">
        <x:v>P50(s)</x:v>
      </x:c>
      <x:c r="F49" s="206" t="str">
        <x:v>P90(s)</x:v>
      </x:c>
      <x:c r="G49" s="206" t="str">
        <x:v>P95(s)</x:v>
      </x:c>
      <x:c r="H49" s="206" t="str">
        <x:v>P99(s)</x:v>
      </x:c>
      <x:c r="I49" s="206" t="str">
        <x:v>Max(s)</x:v>
      </x:c>
      <x:c r="J49" s="206" t="str">
        <x:v>Completed
QPS</x:v>
      </x:c>
      <x:c r="K49"/>
      <x:c r="L49" s="206" t="str">
        <x:v>Requests</x:v>
      </x:c>
      <x:c r="M49" s="206" t="str">
        <x:v>Target
QPS</x:v>
      </x:c>
      <x:c r="N49" s="206" t="str">
        <x:v>Actual
QPS</x:v>
      </x:c>
      <x:c r="O49" s="206" t="str">
        <x:v>Peak 1s
arrivals</x:v>
      </x:c>
      <x:c r="P49"/>
      <x:c r="Q49"/>
      <x:c r="R49" s="206" t="str">
        <x:v>Max in
flight</x:v>
      </x:c>
      <x:c r="S49" s="206" t="str">
        <x:v>Errors</x:v>
      </x:c>
      <x:c r="T49" s="206" t="str">
        <x:v>KV caps</x:v>
      </x:c>
      <x:c r="U49" s="206" t="str">
        <x:v>Run(s)</x:v>
      </x:c>
      <x:c r="V49"/>
      <x:c r="W49"/>
      <x:c r="X49"/>
      <x:c r="Y49"/>
      <x:c r="AA49" s="257" t="n">
        <x:f>M36</x:f>
        <x:v>4</x:v>
      </x:c>
      <x:c r="AB49" s="257" t="n">
        <x:f>G36</x:f>
        <x:v>3.2190116259676866</x:v>
      </x:c>
      <x:c r="AC49" s="257" t="e">
        <x:f>IF(COUNTIFS($M$14:$M$43,"&gt;="&amp;M36,$G$14:$G$43,"&lt;"&amp;G36)+COUNTIFS($M$14:$M$43,"&gt;"&amp;M36,$G$14:$G$43,"&lt;="&amp;G36)=0,G36,NA())</x:f>
        <x:v>#N/A</x:v>
      </x:c>
      <x:c r="AD49" s="257" t="e">
        <x:f>NA()</x:f>
        <x:v>#N/A</x:v>
      </x:c>
    </x:row>
    <x:row r="50" ht="25" customHeight="1">
      <x:c r="A50"/>
      <x:c r="B50"/>
      <x:c r="C50" s="213" t="str">
        <x:v>B8</x:v>
      </x:c>
      <x:c r="D50" s="216" t="n">
        <x:v>0.6874142762646079</x:v>
      </x:c>
      <x:c r="E50" s="216" t="n">
        <x:v>0.4372264460544102</x:v>
      </x:c>
      <x:c r="F50" s="216" t="n">
        <x:v>1.6196515566669405</x:v>
      </x:c>
      <x:c r="G50" s="222" t="n">
        <x:v>2.370983237819744</x:v>
      </x:c>
      <x:c r="H50" s="216" t="n">
        <x:v>3.112134453655453</x:v>
      </x:c>
      <x:c r="I50" s="216" t="n">
        <x:v>3.2260513990186155</x:v>
      </x:c>
      <x:c r="J50" s="222" t="n">
        <x:f>L50/U50</x:f>
        <x:v>2.1132757959490958</x:v>
      </x:c>
      <x:c r="K50"/>
      <x:c r="L50" s="223" t="n">
        <x:v>50</x:v>
      </x:c>
      <x:c r="M50" s="224" t="n">
        <x:v>2</x:v>
      </x:c>
      <x:c r="N50" s="216" t="n">
        <x:v>2.1224616526082927</x:v>
      </x:c>
      <x:c r="O50" s="225" t="n">
        <x:v>7</x:v>
      </x:c>
      <x:c r="P50"/>
      <x:c r="Q50"/>
      <x:c r="R50" s="226" t="n">
        <x:v>7</x:v>
      </x:c>
      <x:c r="S50" s="226" t="n">
        <x:v>0</x:v>
      </x:c>
      <x:c r="T50" s="226" t="n">
        <x:v>0</x:v>
      </x:c>
      <x:c r="U50" s="227" t="n">
        <x:v>23.65995015692897</x:v>
      </x:c>
      <x:c r="V50"/>
      <x:c r="W50" s="109" t="str">
        <x:v>Screening frontier only. Higher QPS and lower P95 are better. 10k measurements are separate; pilot runs are not used for the frontier. #N/A omits dominated rates from the frontier series.</x:v>
      </x:c>
      <x:c r="X50" s="109"/>
      <x:c r="Y50" s="109"/>
      <x:c r="AA50" s="257" t="n">
        <x:f>M37</x:f>
        <x:v>5</x:v>
      </x:c>
      <x:c r="AB50" s="257" t="n">
        <x:f>G37</x:f>
        <x:v>3.5459512361558154</x:v>
      </x:c>
      <x:c r="AC50" s="257" t="e">
        <x:f>IF(COUNTIFS($M$14:$M$43,"&gt;="&amp;M37,$G$14:$G$43,"&lt;"&amp;G37)+COUNTIFS($M$14:$M$43,"&gt;"&amp;M37,$G$14:$G$43,"&lt;="&amp;G37)=0,G37,NA())</x:f>
        <x:v>#N/A</x:v>
      </x:c>
      <x:c r="AD50" s="257" t="e">
        <x:f>NA()</x:f>
        <x:v>#N/A</x:v>
      </x:c>
    </x:row>
    <x:row r="51" ht="25" customHeight="1">
      <x:c r="A51"/>
      <x:c r="B51"/>
      <x:c r="C51" s="234" t="str">
        <x:v>B8</x:v>
      </x:c>
      <x:c r="D51" s="237" t="n">
        <x:v>0.7457310116908047</x:v>
      </x:c>
      <x:c r="E51" s="237" t="n">
        <x:v>0.45415769302053377</x:v>
      </x:c>
      <x:c r="F51" s="237" t="n">
        <x:v>1.481209260295149</x:v>
      </x:c>
      <x:c r="G51" s="243" t="n">
        <x:v>2.1044683347281516</x:v>
      </x:c>
      <x:c r="H51" s="237" t="n">
        <x:v>3.756436766834238</x:v>
      </x:c>
      <x:c r="I51" s="237" t="n">
        <x:v>5.148095885058865</x:v>
      </x:c>
      <x:c r="J51" s="243" t="n">
        <x:f>L51/U51</x:f>
        <x:v>4.298564357952954</x:v>
      </x:c>
      <x:c r="K51"/>
      <x:c r="L51" s="244" t="n">
        <x:v>100</x:v>
      </x:c>
      <x:c r="M51" s="245" t="n">
        <x:v>5</x:v>
      </x:c>
      <x:c r="N51" s="237" t="n">
        <x:v>4.944741548483436</x:v>
      </x:c>
      <x:c r="O51" s="246" t="n">
        <x:v>14</x:v>
      </x:c>
      <x:c r="P51"/>
      <x:c r="Q51"/>
      <x:c r="R51" s="247" t="n">
        <x:v>12</x:v>
      </x:c>
      <x:c r="S51" s="247" t="n">
        <x:v>0</x:v>
      </x:c>
      <x:c r="T51" s="247" t="n">
        <x:v>0</x:v>
      </x:c>
      <x:c r="U51" s="248" t="n">
        <x:v>23.263580970931798</x:v>
      </x:c>
      <x:c r="V51"/>
      <x:c r="W51" s="109"/>
      <x:c r="X51" s="109"/>
      <x:c r="Y51" s="109"/>
      <x:c r="AA51" s="257" t="n">
        <x:f>M38</x:f>
        <x:v>6</x:v>
      </x:c>
      <x:c r="AB51" s="257" t="n">
        <x:f>G38</x:f>
        <x:v>3.7762606723117633</x:v>
      </x:c>
      <x:c r="AC51" s="257" t="n">
        <x:f>IF(COUNTIFS($M$14:$M$43,"&gt;="&amp;M38,$G$14:$G$43,"&lt;"&amp;G38)+COUNTIFS($M$14:$M$43,"&gt;"&amp;M38,$G$14:$G$43,"&lt;="&amp;G38)=0,G38,NA())</x:f>
        <x:v>3.7762606723117633</x:v>
      </x:c>
      <x:c r="AD51" s="257" t="e">
        <x:f>NA()</x:f>
        <x:v>#N/A</x:v>
      </x:c>
    </x:row>
    <x:row r="52" ht="25" customHeight="1">
      <x:c r="A52"/>
      <x:c r="B52"/>
      <x:c r="C52" s="213" t="str">
        <x:v>B8</x:v>
      </x:c>
      <x:c r="D52" s="216" t="n">
        <x:v>1.4267006098934216</x:v>
      </x:c>
      <x:c r="E52" s="216" t="n">
        <x:v>0.8865422075032257</x:v>
      </x:c>
      <x:c r="F52" s="216" t="n">
        <x:v>3.401267430139706</x:v>
      </x:c>
      <x:c r="G52" s="222" t="n">
        <x:v>4.364161068742396</x:v>
      </x:c>
      <x:c r="H52" s="216" t="n">
        <x:v>7.557275295010768</x:v>
      </x:c>
      <x:c r="I52" s="216" t="n">
        <x:v>10.518340755952522</x:v>
      </x:c>
      <x:c r="J52" s="222" t="n">
        <x:f>L52/U52</x:f>
        <x:v>5.695933843481298</x:v>
      </x:c>
      <x:c r="K52"/>
      <x:c r="L52" s="223" t="n">
        <x:v>1000</x:v>
      </x:c>
      <x:c r="M52" s="224" t="n">
        <x:v>6</x:v>
      </x:c>
      <x:c r="N52" s="216" t="n">
        <x:v>5.763220244782812</x:v>
      </x:c>
      <x:c r="O52" s="225" t="n">
        <x:v>15</x:v>
      </x:c>
      <x:c r="P52"/>
      <x:c r="Q52"/>
      <x:c r="R52" s="226" t="n">
        <x:v>32</x:v>
      </x:c>
      <x:c r="S52" s="226" t="n">
        <x:v>0</x:v>
      </x:c>
      <x:c r="T52" s="226" t="n">
        <x:v>10</x:v>
      </x:c>
      <x:c r="U52" s="227" t="n">
        <x:v>175.56383684906177</x:v>
      </x:c>
      <x:c r="V52"/>
      <x:c r="W52" s="109"/>
      <x:c r="X52" s="109"/>
      <x:c r="Y52" s="109"/>
      <x:c r="AA52" s="257" t="n">
        <x:f>M39</x:f>
        <x:v>6.5</x:v>
      </x:c>
      <x:c r="AB52" s="257" t="n">
        <x:f>G39</x:f>
        <x:v>4.032603641098829</x:v>
      </x:c>
      <x:c r="AC52" s="257" t="n">
        <x:f>IF(COUNTIFS($M$14:$M$43,"&gt;="&amp;M39,$G$14:$G$43,"&lt;"&amp;G39)+COUNTIFS($M$14:$M$43,"&gt;"&amp;M39,$G$14:$G$43,"&lt;="&amp;G39)=0,G39,NA())</x:f>
        <x:v>4.032603641098829</x:v>
      </x:c>
      <x:c r="AD52" s="257" t="e">
        <x:f>NA()</x:f>
        <x:v>#N/A</x:v>
      </x:c>
    </x:row>
    <x:row r="53" ht="20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 s="109"/>
      <x:c r="X53" s="109"/>
      <x:c r="Y53" s="109"/>
      <x:c r="AA53" s="257" t="n">
        <x:f>M40</x:f>
        <x:v>4</x:v>
      </x:c>
      <x:c r="AB53" s="257" t="n">
        <x:f>G40</x:f>
        <x:v>4.22760043486487</x:v>
      </x:c>
      <x:c r="AC53" s="257" t="e">
        <x:f>IF(COUNTIFS($M$14:$M$43,"&gt;="&amp;M40,$G$14:$G$43,"&lt;"&amp;G40)+COUNTIFS($M$14:$M$43,"&gt;"&amp;M40,$G$14:$G$43,"&lt;="&amp;G40)=0,G40,NA())</x:f>
        <x:v>#N/A</x:v>
      </x:c>
      <x:c r="AD53" s="257" t="e">
        <x:f>NA()</x:f>
        <x:v>#N/A</x:v>
      </x:c>
    </x:row>
    <x:row r="54" ht="34" customHeight="1">
      <x:c r="A54"/>
      <x:c r="B54"/>
      <x:c r="C54" s="249" t="str">
        <x:v>Pilots use shuffled corpus cycles. Screening and 10k runs use globally shuffled balanced corpus samples. KV caps are retained capacity-limited outputs, not EOS completions.</x:v>
      </x:c>
      <x:c r="D54" s="249" t="str">
        <x:v>Pilots use shuffled corpus cycles. Screening and 10k runs use globally shuffled balanced corpus samples. KV caps are retained capacity-limited outputs, not EOS completions.</x:v>
      </x:c>
      <x:c r="E54" s="249" t="str">
        <x:v>Pilots use shuffled corpus cycles. Screening and 10k runs use globally shuffled balanced corpus samples. KV caps are retained capacity-limited outputs, not EOS completions.</x:v>
      </x:c>
      <x:c r="F54" s="249" t="str">
        <x:v>Pilots use shuffled corpus cycles. Screening and 10k runs use globally shuffled balanced corpus samples. KV caps are retained capacity-limited outputs, not EOS completions.</x:v>
      </x:c>
      <x:c r="G54" s="249" t="str">
        <x:v>Pilots use shuffled corpus cycles. Screening and 10k runs use globally shuffled balanced corpus samples. KV caps are retained capacity-limited outputs, not EOS completions.</x:v>
      </x:c>
      <x:c r="H54" s="249" t="str">
        <x:v>Pilots use shuffled corpus cycles. Screening and 10k runs use globally shuffled balanced corpus samples. KV caps are retained capacity-limited outputs, not EOS completions.</x:v>
      </x:c>
      <x:c r="I54" s="249" t="str">
        <x:v>Pilots use shuffled corpus cycles. Screening and 10k runs use globally shuffled balanced corpus samples. KV caps are retained capacity-limited outputs, not EOS completions.</x:v>
      </x:c>
      <x:c r="J54" s="249" t="str">
        <x:v>Pilots use shuffled corpus cycles. Screening and 10k runs use globally shuffled balanced corpus samples. KV caps are retained capacity-limited outputs, not EOS completions.</x:v>
      </x:c>
      <x:c r="K54" s="249" t="str">
        <x:v>Pilots use shuffled corpus cycles. Screening and 10k runs use globally shuffled balanced corpus samples. KV caps are retained capacity-limited outputs, not EOS completions.</x:v>
      </x:c>
      <x:c r="L54" s="249" t="str">
        <x:v>Pilots use shuffled corpus cycles. Screening and 10k runs use globally shuffled balanced corpus samples. KV caps are retained capacity-limited outputs, not EOS completions.</x:v>
      </x:c>
      <x:c r="M54" s="249" t="str">
        <x:v>Pilots use shuffled corpus cycles. Screening and 10k runs use globally shuffled balanced corpus samples. KV caps are retained capacity-limited outputs, not EOS completions.</x:v>
      </x:c>
      <x:c r="N54" s="249" t="str">
        <x:v>Pilots use shuffled corpus cycles. Screening and 10k runs use globally shuffled balanced corpus samples. KV caps are retained capacity-limited outputs, not EOS completions.</x:v>
      </x:c>
      <x:c r="O54" s="249" t="str">
        <x:v>Pilots use shuffled corpus cycles. Screening and 10k runs use globally shuffled balanced corpus samples. KV caps are retained capacity-limited outputs, not EOS completions.</x:v>
      </x:c>
      <x:c r="P54" s="249" t="str">
        <x:v>Pilots use shuffled corpus cycles. Screening and 10k runs use globally shuffled balanced corpus samples. KV caps are retained capacity-limited outputs, not EOS completions.</x:v>
      </x:c>
      <x:c r="Q54" s="249" t="str">
        <x:v>Pilots use shuffled corpus cycles. Screening and 10k runs use globally shuffled balanced corpus samples. KV caps are retained capacity-limited outputs, not EOS completions.</x:v>
      </x:c>
      <x:c r="R54" s="249" t="str">
        <x:v>Pilots use shuffled corpus cycles. Screening and 10k runs use globally shuffled balanced corpus samples. KV caps are retained capacity-limited outputs, not EOS completions.</x:v>
      </x:c>
      <x:c r="S54" s="249" t="str">
        <x:v>Pilots use shuffled corpus cycles. Screening and 10k runs use globally shuffled balanced corpus samples. KV caps are retained capacity-limited outputs, not EOS completions.</x:v>
      </x:c>
      <x:c r="T54" s="249" t="str">
        <x:v>Pilots use shuffled corpus cycles. Screening and 10k runs use globally shuffled balanced corpus samples. KV caps are retained capacity-limited outputs, not EOS completions.</x:v>
      </x:c>
      <x:c r="U54" s="249" t="str">
        <x:v>Pilots use shuffled corpus cycles. Screening and 10k runs use globally shuffled balanced corpus samples. KV caps are retained capacity-limited outputs, not EOS completions.</x:v>
      </x:c>
      <x:c r="V54"/>
      <x:c r="W54"/>
      <x:c r="X54"/>
      <x:c r="Y54"/>
      <x:c r="AA54" s="257" t="n">
        <x:f>M41</x:f>
        <x:v>6</x:v>
      </x:c>
      <x:c r="AB54" s="257" t="n">
        <x:f>G41</x:f>
        <x:v>4.995519616513044</x:v>
      </x:c>
      <x:c r="AC54" s="257" t="e">
        <x:f>IF(COUNTIFS($M$14:$M$43,"&gt;="&amp;M41,$G$14:$G$43,"&lt;"&amp;G41)+COUNTIFS($M$14:$M$43,"&gt;"&amp;M41,$G$14:$G$43,"&lt;="&amp;G41)=0,G41,NA())</x:f>
        <x:v>#N/A</x:v>
      </x:c>
      <x:c r="AD54" s="257" t="e">
        <x:f>NA()</x:f>
        <x:v>#N/A</x:v>
      </x:c>
    </x:row>
    <x:row r="55" ht="20" customHeight="1"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AA55" s="257" t="n">
        <x:f>M42</x:f>
        <x:v>7</x:v>
      </x:c>
      <x:c r="AB55" s="257" t="n">
        <x:f>G42</x:f>
        <x:v>5.623201965418408</x:v>
      </x:c>
      <x:c r="AC55" s="257" t="n">
        <x:f>IF(COUNTIFS($M$14:$M$43,"&gt;="&amp;M42,$G$14:$G$43,"&lt;"&amp;G42)+COUNTIFS($M$14:$M$43,"&gt;"&amp;M42,$G$14:$G$43,"&lt;="&amp;G42)=0,G42,NA())</x:f>
        <x:v>5.623201965418408</x:v>
      </x:c>
      <x:c r="AD55" s="257" t="e">
        <x:f>NA()</x:f>
        <x:v>#N/A</x:v>
      </x:c>
    </x:row>
    <x:row r="56" ht="20" customHeight="1">
      <x:c r="AA56" s="257" t="n">
        <x:f>M43</x:f>
        <x:v>8</x:v>
      </x:c>
      <x:c r="AB56" s="257" t="n">
        <x:f>G43</x:f>
        <x:v>6.111541723075783</x:v>
      </x:c>
      <x:c r="AC56" s="257" t="n">
        <x:f>IF(COUNTIFS($M$14:$M$43,"&gt;="&amp;M43,$G$14:$G$43,"&lt;"&amp;G43)+COUNTIFS($M$14:$M$43,"&gt;"&amp;M43,$G$14:$G$43,"&lt;="&amp;G43)=0,G43,NA())</x:f>
        <x:v>6.111541723075783</x:v>
      </x:c>
      <x:c r="AD56" s="257" t="e">
        <x:f>NA()</x:f>
        <x:v>#N/A</x:v>
      </x:c>
    </x:row>
    <x:row r="57" ht="20" customHeight="1">
      <x:c r="AA57" s="257" t="n">
        <x:f>M4</x:f>
        <x:v>3</x:v>
      </x:c>
      <x:c r="AB57" s="257" t="e">
        <x:f>NA()</x:f>
        <x:v>#N/A</x:v>
      </x:c>
      <x:c r="AC57" s="257" t="e">
        <x:f>NA()</x:f>
        <x:v>#N/A</x:v>
      </x:c>
      <x:c r="AD57" s="257" t="n">
        <x:f>G4</x:f>
        <x:v>2.5707876328902723</x:v>
      </x:c>
    </x:row>
    <x:row r="58" ht="20" customHeight="1">
      <x:c r="C58"/>
      <x:c r="D58"/>
      <x:c r="E58"/>
      <x:c r="F58"/>
      <x:c r="G58"/>
      <x:c r="H58"/>
      <x:c r="I58"/>
      <x:c r="J58"/>
      <x:c r="L58"/>
      <x:c r="M58"/>
      <x:c r="N58"/>
      <x:c r="O58"/>
      <x:c r="R58"/>
      <x:c r="S58"/>
      <x:c r="T58"/>
      <x:c r="U58"/>
      <x:c r="AA58" s="257" t="n">
        <x:f>M5</x:f>
        <x:v>4</x:v>
      </x:c>
      <x:c r="AB58" s="257" t="e">
        <x:f>NA()</x:f>
        <x:v>#N/A</x:v>
      </x:c>
      <x:c r="AC58" s="257" t="e">
        <x:f>NA()</x:f>
        <x:v>#N/A</x:v>
      </x:c>
      <x:c r="AD58" s="257" t="n">
        <x:f>G5</x:f>
        <x:v>3.2956308381690156</x:v>
      </x:c>
    </x:row>
    <x:row r="59" ht="11.25" customHeight="1">
      <x:c r="A59" s="115"/>
      <x:c r="B59" s="115"/>
      <x:c r="C59" s="115"/>
      <x:c r="D59" s="115"/>
      <x:c r="E59" s="115"/>
      <x:c r="F59" s="115"/>
      <x:c r="G59" s="115"/>
      <x:c r="H59" s="115"/>
      <x:c r="I59" s="115"/>
      <x:c r="J59" s="115"/>
      <x:c r="K59" s="115"/>
      <x:c r="L59" s="115"/>
      <x:c r="M59" s="115"/>
      <x:c r="N59" s="115"/>
      <x:c r="O59" s="115"/>
      <x:c r="P59" s="115"/>
      <x:c r="Q59" s="115"/>
      <x:c r="R59" s="115"/>
      <x:c r="S59" s="115"/>
      <x:c r="T59" s="115"/>
      <x:c r="U59" s="115"/>
      <x:c r="V59" s="115"/>
      <x:c r="W59" s="115"/>
      <x:c r="X59" s="115"/>
      <x:c r="Y59" s="115"/>
      <x:c r="Z59" s="115"/>
      <x:c r="AA59" s="257" t="n">
        <x:f>M6</x:f>
        <x:v>6</x:v>
      </x:c>
      <x:c r="AB59" s="257" t="e">
        <x:f>NA()</x:f>
        <x:v>#N/A</x:v>
      </x:c>
      <x:c r="AC59" s="257" t="e">
        <x:f>NA()</x:f>
        <x:v>#N/A</x:v>
      </x:c>
      <x:c r="AD59" s="257" t="n">
        <x:f>G6</x:f>
        <x:v>4.114488156582229</x:v>
      </x:c>
    </x:row>
    <x:row r="60" ht="11.25" customHeight="1">
      <x:c r="A60" s="115"/>
      <x:c r="B60" s="115"/>
      <x:c r="C60" s="115"/>
      <x:c r="D60" s="115"/>
      <x:c r="E60" s="115"/>
      <x:c r="F60" s="115"/>
      <x:c r="G60" s="115"/>
      <x:c r="H60" s="115"/>
      <x:c r="I60" s="115"/>
      <x:c r="J60" s="115"/>
      <x:c r="K60" s="115"/>
      <x:c r="L60" s="115"/>
      <x:c r="M60" s="115"/>
      <x:c r="N60" s="115"/>
      <x:c r="O60" s="115"/>
      <x:c r="P60" s="115"/>
      <x:c r="Q60" s="115"/>
      <x:c r="R60" s="115"/>
      <x:c r="S60" s="115"/>
      <x:c r="T60" s="115"/>
      <x:c r="U60" s="115"/>
      <x:c r="V60" s="115"/>
      <x:c r="W60" s="115"/>
      <x:c r="X60" s="115"/>
      <x:c r="Y60" s="115"/>
      <x:c r="Z60" s="115"/>
    </x:row>
    <x:row r="61" ht="23.25" customHeight="1">
      <x:c r="A61" s="115"/>
      <x:c r="B61" s="115"/>
      <x:c r="C61" s="119" t="str">
        <x:v>Custom PaddleOCR-VL</x:v>
      </x:c>
      <x:c r="D61" s="119" t="str">
        <x:v>Custom PaddleOCR-VL</x:v>
      </x:c>
      <x:c r="E61" s="119" t="str">
        <x:v>Custom PaddleOCR-VL</x:v>
      </x:c>
      <x:c r="F61" s="119" t="str">
        <x:v>Custom PaddleOCR-VL</x:v>
      </x:c>
      <x:c r="G61" s="119" t="str">
        <x:v>Custom PaddleOCR-VL</x:v>
      </x:c>
      <x:c r="H61" s="119" t="str">
        <x:v>Custom PaddleOCR-VL</x:v>
      </x:c>
      <x:c r="I61" s="119" t="str">
        <x:v>Custom PaddleOCR-VL</x:v>
      </x:c>
      <x:c r="J61" s="119" t="str">
        <x:v>Custom PaddleOCR-VL</x:v>
      </x:c>
      <x:c r="K61" s="115"/>
      <x:c r="L61" s="123" t="str">
        <x:v>Ratios above 1× favor custom</x:v>
      </x:c>
      <x:c r="M61" s="123" t="str">
        <x:v>Ratios above 1× favor custom</x:v>
      </x:c>
      <x:c r="N61" s="123" t="str">
        <x:v>Ratios above 1× favor custom</x:v>
      </x:c>
      <x:c r="O61" s="123" t="str">
        <x:v>Ratios above 1× favor custom</x:v>
      </x:c>
      <x:c r="P61" s="115"/>
      <x:c r="Q61" s="115"/>
      <x:c r="R61" s="119" t="str">
        <x:v>vLLM-Ascend 0.23.0rc1 · FULL_AND_PIECEWISE</x:v>
      </x:c>
      <x:c r="S61" s="119" t="str">
        <x:v>vLLM-Ascend 0.23.0rc1 · FULL_AND_PIECEWISE</x:v>
      </x:c>
      <x:c r="T61" s="119" t="str">
        <x:v>vLLM-Ascend 0.23.0rc1 · FULL_AND_PIECEWISE</x:v>
      </x:c>
      <x:c r="U61" s="119" t="str">
        <x:v>vLLM-Ascend 0.23.0rc1 · FULL_AND_PIECEWISE</x:v>
      </x:c>
      <x:c r="V61" s="119" t="str">
        <x:v>vLLM-Ascend 0.23.0rc1 · FULL_AND_PIECEWISE</x:v>
      </x:c>
      <x:c r="W61" s="119" t="str">
        <x:v>vLLM-Ascend 0.23.0rc1 · FULL_AND_PIECEWISE</x:v>
      </x:c>
      <x:c r="X61" s="119" t="str">
        <x:v>vLLM-Ascend 0.23.0rc1 · FULL_AND_PIECEWISE</x:v>
      </x:c>
      <x:c r="Y61" s="119" t="str">
        <x:v>vLLM-Ascend 0.23.0rc1 · FULL_AND_PIECEWISE</x:v>
      </x:c>
      <x:c r="Z61" s="115"/>
    </x:row>
    <x:row r="62" ht="26.25" customHeight="1">
      <x:c r="A62" s="115"/>
      <x:c r="B62" s="115"/>
      <x:c r="C62" s="129" t="str">
        <x:v>Custom: &gt;P90 tables</x:v>
      </x:c>
      <x:c r="D62" s="133" t="str">
        <x:v>Custom: &gt;P90 tables</x:v>
      </x:c>
      <x:c r="E62" s="137" t="str">
        <x:v>Custom: &gt;P90 tables</x:v>
      </x:c>
      <x:c r="F62" s="115"/>
      <x:c r="G62" s="115"/>
      <x:c r="H62" s="115"/>
      <x:c r="I62" s="115"/>
      <x:c r="J62" s="115"/>
      <x:c r="K62" s="115"/>
      <x:c r="L62" s="129" t="str">
        <x:v>Speedup</x:v>
      </x:c>
      <x:c r="M62" s="133" t="str">
        <x:v>Speedup</x:v>
      </x:c>
      <x:c r="N62" s="133" t="str">
        <x:v>Speedup</x:v>
      </x:c>
      <x:c r="O62" s="137" t="str">
        <x:v>Speedup</x:v>
      </x:c>
      <x:c r="P62" s="115"/>
      <x:c r="Q62" s="115"/>
      <x:c r="R62" s="129" t="str">
        <x:v>vLLM: &gt;P90 tables</x:v>
      </x:c>
      <x:c r="S62" s="133" t="str">
        <x:v>vLLM: &gt;P90 tables</x:v>
      </x:c>
      <x:c r="T62" s="137" t="str">
        <x:v>vLLM: &gt;P90 tables</x:v>
      </x:c>
      <x:c r="U62" s="115"/>
      <x:c r="V62" s="115"/>
      <x:c r="W62" s="115"/>
      <x:c r="X62" s="115"/>
      <x:c r="Y62" s="115"/>
      <x:c r="Z62" s="115"/>
    </x:row>
    <x:row r="63" ht="24.75" customHeight="1">
      <x:c r="A63" s="115"/>
      <x:c r="B63" s="115"/>
      <x:c r="C63" s="143" t="str">
        <x:v>Concurrency/Latency</x:v>
      </x:c>
      <x:c r="D63" s="146" t="str">
        <x:v>Mean(s)</x:v>
      </x:c>
      <x:c r="E63" s="146" t="str">
        <x:v>P50(s)</x:v>
      </x:c>
      <x:c r="F63" s="146" t="str">
        <x:v>P90(s)</x:v>
      </x:c>
      <x:c r="G63" s="146" t="str">
        <x:v>P95(s)</x:v>
      </x:c>
      <x:c r="H63" s="146" t="str">
        <x:v>P99(s)</x:v>
      </x:c>
      <x:c r="I63" s="146" t="str">
        <x:v>Max(s)</x:v>
      </x:c>
      <x:c r="J63" s="146" t="str">
        <x:v>QPS</x:v>
      </x:c>
      <x:c r="K63" s="115"/>
      <x:c r="L63" s="143" t="str">
        <x:v>B / C</x:v>
      </x:c>
      <x:c r="M63" s="143" t="str">
        <x:v>Mean</x:v>
      </x:c>
      <x:c r="N63" s="143" t="str">
        <x:v>P95</x:v>
      </x:c>
      <x:c r="O63" s="143" t="str">
        <x:v>QPS</x:v>
      </x:c>
      <x:c r="P63" s="115"/>
      <x:c r="Q63" s="115"/>
      <x:c r="R63" s="143" t="str">
        <x:v>Concurrency/Latency</x:v>
      </x:c>
      <x:c r="S63" s="146" t="str">
        <x:v>Mean(s)</x:v>
      </x:c>
      <x:c r="T63" s="146" t="str">
        <x:v>P50(s)</x:v>
      </x:c>
      <x:c r="U63" s="146" t="str">
        <x:v>P90(s)</x:v>
      </x:c>
      <x:c r="V63" s="146" t="str">
        <x:v>P95(s)</x:v>
      </x:c>
      <x:c r="W63" s="146" t="str">
        <x:v>P99(s)</x:v>
      </x:c>
      <x:c r="X63" s="146" t="str">
        <x:v>Max(s)</x:v>
      </x:c>
      <x:c r="Y63" s="146" t="str">
        <x:v>QPS</x:v>
      </x:c>
      <x:c r="Z63" s="115"/>
    </x:row>
    <x:row r="64" ht="24.75" customHeight="1">
      <x:c r="A64" s="115"/>
      <x:c r="B64" s="115"/>
      <x:c r="C64" s="151" t="str">
        <x:v>B=1</x:v>
      </x:c>
      <x:c r="D64" s="154" t="n">
        <x:v>2.456</x:v>
      </x:c>
      <x:c r="E64" s="154" t="n">
        <x:v>2.201</x:v>
      </x:c>
      <x:c r="F64" s="154" t="n">
        <x:v>3.641</x:v>
      </x:c>
      <x:c r="G64" s="155" t="n">
        <x:v>3.65</x:v>
      </x:c>
      <x:c r="H64" s="154" t="n">
        <x:v>3.693</x:v>
      </x:c>
      <x:c r="I64" s="154" t="n">
        <x:v>3.695</x:v>
      </x:c>
      <x:c r="J64" s="155" t="n">
        <x:v>0.407</x:v>
      </x:c>
      <x:c r="K64" s="115"/>
      <x:c r="L64" s="151" t="n">
        <x:v>1</x:v>
      </x:c>
      <x:c r="M64" s="156" t="n">
        <x:f>S64/D64</x:f>
        <x:v>6.56799674267101</x:v>
      </x:c>
      <x:c r="N64" s="156" t="n">
        <x:f>V64/G64</x:f>
        <x:v>6.928493150684932</x:v>
      </x:c>
      <x:c r="O64" s="156" t="n">
        <x:f>J64/Y64</x:f>
        <x:v>6.564516129032258</x:v>
      </x:c>
      <x:c r="P64" s="115"/>
      <x:c r="Q64" s="115"/>
      <x:c r="R64" s="151" t="str">
        <x:v>B=1</x:v>
      </x:c>
      <x:c r="S64" s="154" t="n">
        <x:f>ROUND('vLLM data'!E2,3)</x:f>
        <x:v>16.131</x:v>
      </x:c>
      <x:c r="T64" s="154" t="n">
        <x:f>ROUND('vLLM data'!F2,3)</x:f>
        <x:v>14.128</x:v>
      </x:c>
      <x:c r="U64" s="154" t="n">
        <x:f>ROUND('vLLM data'!G2,3)</x:f>
        <x:v>24.657</x:v>
      </x:c>
      <x:c r="V64" s="155" t="n">
        <x:f>ROUND('vLLM data'!H2,3)</x:f>
        <x:v>25.289</x:v>
      </x:c>
      <x:c r="W64" s="154" t="n">
        <x:f>ROUND('vLLM data'!I2,3)</x:f>
        <x:v>25.653</x:v>
      </x:c>
      <x:c r="X64" s="154" t="n">
        <x:f>ROUND('vLLM data'!J2,3)</x:f>
        <x:v>25.756</x:v>
      </x:c>
      <x:c r="Y64" s="155" t="n">
        <x:f>ROUND('vLLM data'!K2,3)</x:f>
        <x:v>0.062</x:v>
      </x:c>
      <x:c r="Z64" s="115"/>
    </x:row>
    <x:row r="65" ht="24.75" customHeight="1">
      <x:c r="A65" s="115"/>
      <x:c r="B65" s="115"/>
      <x:c r="C65" s="151" t="str">
        <x:v>B=2</x:v>
      </x:c>
      <x:c r="D65" s="154" t="n">
        <x:v>2.882</x:v>
      </x:c>
      <x:c r="E65" s="154" t="n">
        <x:v>2.491</x:v>
      </x:c>
      <x:c r="F65" s="154" t="n">
        <x:v>4.368</x:v>
      </x:c>
      <x:c r="G65" s="155" t="n">
        <x:v>4.426</x:v>
      </x:c>
      <x:c r="H65" s="154" t="n">
        <x:v>4.862</x:v>
      </x:c>
      <x:c r="I65" s="154" t="n">
        <x:v>5.101</x:v>
      </x:c>
      <x:c r="J65" s="155" t="n">
        <x:v>0.685</x:v>
      </x:c>
      <x:c r="K65" s="115"/>
      <x:c r="L65" s="151" t="n">
        <x:v>2</x:v>
      </x:c>
      <x:c r="M65" s="156" t="n">
        <x:f>S65/D65</x:f>
        <x:v>5.96530187369882</x:v>
      </x:c>
      <x:c r="N65" s="156" t="n">
        <x:f>V65/G65</x:f>
        <x:v>6.141436963398101</x:v>
      </x:c>
      <x:c r="O65" s="156" t="n">
        <x:f>J65/Y65</x:f>
        <x:v>5.956521739130435</x:v>
      </x:c>
      <x:c r="P65" s="115"/>
      <x:c r="Q65" s="115"/>
      <x:c r="R65" s="151" t="str">
        <x:v>B=2</x:v>
      </x:c>
      <x:c r="S65" s="154" t="n">
        <x:f>ROUND('vLLM data'!E3,3)</x:f>
        <x:v>17.192</x:v>
      </x:c>
      <x:c r="T65" s="154" t="n">
        <x:f>ROUND('vLLM data'!F3,3)</x:f>
        <x:v>15.197</x:v>
      </x:c>
      <x:c r="U65" s="154" t="n">
        <x:f>ROUND('vLLM data'!G3,3)</x:f>
        <x:v>26.256</x:v>
      </x:c>
      <x:c r="V65" s="155" t="n">
        <x:f>ROUND('vLLM data'!H3,3)</x:f>
        <x:v>27.182</x:v>
      </x:c>
      <x:c r="W65" s="154" t="n">
        <x:f>ROUND('vLLM data'!I3,3)</x:f>
        <x:v>28.314</x:v>
      </x:c>
      <x:c r="X65" s="154" t="n">
        <x:f>ROUND('vLLM data'!J3,3)</x:f>
        <x:v>28.396</x:v>
      </x:c>
      <x:c r="Y65" s="155" t="n">
        <x:f>ROUND('vLLM data'!K3,3)</x:f>
        <x:v>0.115</x:v>
      </x:c>
      <x:c r="Z65" s="115"/>
    </x:row>
    <x:row r="66" ht="24.75" customHeight="1">
      <x:c r="A66" s="115"/>
      <x:c r="B66" s="115"/>
      <x:c r="C66" s="151" t="str">
        <x:v>B=4</x:v>
      </x:c>
      <x:c r="D66" s="154" t="n">
        <x:v>3.467</x:v>
      </x:c>
      <x:c r="E66" s="154" t="n">
        <x:v>3.023</x:v>
      </x:c>
      <x:c r="F66" s="154" t="n">
        <x:v>5.102</x:v>
      </x:c>
      <x:c r="G66" s="155" t="n">
        <x:v>5.353</x:v>
      </x:c>
      <x:c r="H66" s="154" t="n">
        <x:v>6.145</x:v>
      </x:c>
      <x:c r="I66" s="154" t="n">
        <x:v>6.242</x:v>
      </x:c>
      <x:c r="J66" s="155" t="n">
        <x:v>1.085</x:v>
      </x:c>
      <x:c r="K66" s="115"/>
      <x:c r="L66" s="151" t="n">
        <x:v>4</x:v>
      </x:c>
      <x:c r="M66" s="156" t="n">
        <x:f>S66/D66</x:f>
        <x:v>5.483415056244591</x:v>
      </x:c>
      <x:c r="N66" s="156" t="n">
        <x:f>V66/G66</x:f>
        <x:v>5.497851671959649</x:v>
      </x:c>
      <x:c r="O66" s="156" t="n">
        <x:f>J66/Y66</x:f>
        <x:v>5.507614213197969</x:v>
      </x:c>
      <x:c r="P66" s="115"/>
      <x:c r="Q66" s="115"/>
      <x:c r="R66" s="151" t="str">
        <x:v>B=4</x:v>
      </x:c>
      <x:c r="S66" s="154" t="n">
        <x:f>ROUND('vLLM data'!E4,3)</x:f>
        <x:v>19.011</x:v>
      </x:c>
      <x:c r="T66" s="154" t="n">
        <x:f>ROUND('vLLM data'!F4,3)</x:f>
        <x:v>15.921</x:v>
      </x:c>
      <x:c r="U66" s="154" t="n">
        <x:f>ROUND('vLLM data'!G4,3)</x:f>
        <x:v>29.33</x:v>
      </x:c>
      <x:c r="V66" s="155" t="n">
        <x:f>ROUND('vLLM data'!H4,3)</x:f>
        <x:v>29.43</x:v>
      </x:c>
      <x:c r="W66" s="154" t="n">
        <x:f>ROUND('vLLM data'!I4,3)</x:f>
        <x:v>30.108</x:v>
      </x:c>
      <x:c r="X66" s="154" t="n">
        <x:f>ROUND('vLLM data'!J4,3)</x:f>
        <x:v>30.203</x:v>
      </x:c>
      <x:c r="Y66" s="155" t="n">
        <x:f>ROUND('vLLM data'!K4,3)</x:f>
        <x:v>0.197</x:v>
      </x:c>
      <x:c r="Z66" s="115"/>
    </x:row>
    <x:row r="67" ht="24.75" customHeight="1">
      <x:c r="A67" s="115"/>
      <x:c r="B67" s="115"/>
      <x:c r="C67" s="151" t="str">
        <x:v>B=8</x:v>
      </x:c>
      <x:c r="D67" s="154" t="n">
        <x:v>5.184</x:v>
      </x:c>
      <x:c r="E67" s="154" t="n">
        <x:v>4.763</x:v>
      </x:c>
      <x:c r="F67" s="154" t="n">
        <x:v>8.162</x:v>
      </x:c>
      <x:c r="G67" s="155" t="n">
        <x:v>8.345</x:v>
      </x:c>
      <x:c r="H67" s="154" t="n">
        <x:v>8.79</x:v>
      </x:c>
      <x:c r="I67" s="154" t="n">
        <x:v>8.922</x:v>
      </x:c>
      <x:c r="J67" s="155" t="n">
        <x:v>1.433</x:v>
      </x:c>
      <x:c r="K67" s="115"/>
      <x:c r="L67" s="151" t="n">
        <x:v>8</x:v>
      </x:c>
      <x:c r="M67" s="156" t="n">
        <x:f>S67/D67</x:f>
        <x:v>3.458912037037037</x:v>
      </x:c>
      <x:c r="N67" s="156" t="n">
        <x:f>V67/G67</x:f>
        <x:v>3.3541042540443375</x:v>
      </x:c>
      <x:c r="O67" s="156" t="n">
        <x:f>J67/Y67</x:f>
        <x:v>3.555831265508685</x:v>
      </x:c>
      <x:c r="P67" s="115"/>
      <x:c r="Q67" s="115"/>
      <x:c r="R67" s="151" t="str">
        <x:v>B=8</x:v>
      </x:c>
      <x:c r="S67" s="154" t="n">
        <x:f>ROUND('vLLM data'!E5,3)</x:f>
        <x:v>17.931</x:v>
      </x:c>
      <x:c r="T67" s="154" t="n">
        <x:f>ROUND('vLLM data'!F5,3)</x:f>
        <x:v>14.752</x:v>
      </x:c>
      <x:c r="U67" s="154" t="n">
        <x:f>ROUND('vLLM data'!G5,3)</x:f>
        <x:v>27.474</x:v>
      </x:c>
      <x:c r="V67" s="155" t="n">
        <x:f>ROUND('vLLM data'!H5,3)</x:f>
        <x:v>27.99</x:v>
      </x:c>
      <x:c r="W67" s="154" t="n">
        <x:f>ROUND('vLLM data'!I5,3)</x:f>
        <x:v>28.846</x:v>
      </x:c>
      <x:c r="X67" s="154" t="n">
        <x:f>ROUND('vLLM data'!J5,3)</x:f>
        <x:v>28.871</x:v>
      </x:c>
      <x:c r="Y67" s="155" t="n">
        <x:f>ROUND('vLLM data'!K5,3)</x:f>
        <x:v>0.403</x:v>
      </x:c>
      <x:c r="Z67" s="115"/>
    </x:row>
    <x:row r="68" ht="24.75" customHeight="1">
      <x:c r="A68" s="115"/>
      <x:c r="B68" s="115"/>
      <x:c r="C68" s="151" t="str">
        <x:v>B=16</x:v>
      </x:c>
      <x:c r="D68" s="154" t="n">
        <x:v>7.511</x:v>
      </x:c>
      <x:c r="E68" s="154" t="n">
        <x:v>6.945</x:v>
      </x:c>
      <x:c r="F68" s="154" t="n">
        <x:v>11.157</x:v>
      </x:c>
      <x:c r="G68" s="155" t="n">
        <x:v>12.811</x:v>
      </x:c>
      <x:c r="H68" s="154" t="n">
        <x:v>14.011</x:v>
      </x:c>
      <x:c r="I68" s="154" t="n">
        <x:v>14.14</x:v>
      </x:c>
      <x:c r="J68" s="155" t="n">
        <x:v>1.873</x:v>
      </x:c>
      <x:c r="K68" s="115"/>
      <x:c r="L68" s="151" t="n">
        <x:v>16</x:v>
      </x:c>
      <x:c r="M68" s="156" t="n">
        <x:f>S68/D68</x:f>
        <x:v>2.695513247237385</x:v>
      </x:c>
      <x:c r="N68" s="156" t="n">
        <x:f>V68/G68</x:f>
        <x:v>2.4756069003200376</x:v>
      </x:c>
      <x:c r="O68" s="156" t="n">
        <x:f>J68/Y68</x:f>
        <x:v>2.8465045592705165</x:v>
      </x:c>
      <x:c r="P68" s="115"/>
      <x:c r="Q68" s="115"/>
      <x:c r="R68" s="151" t="str">
        <x:v>B=16</x:v>
      </x:c>
      <x:c r="S68" s="154" t="n">
        <x:f>ROUND('vLLM data'!E6,3)</x:f>
        <x:v>20.246</x:v>
      </x:c>
      <x:c r="T68" s="154" t="n">
        <x:f>ROUND('vLLM data'!F6,3)</x:f>
        <x:v>17.208</x:v>
      </x:c>
      <x:c r="U68" s="154" t="n">
        <x:f>ROUND('vLLM data'!G6,3)</x:f>
        <x:v>30.498</x:v>
      </x:c>
      <x:c r="V68" s="155" t="n">
        <x:f>ROUND('vLLM data'!H6,3)</x:f>
        <x:v>31.715</x:v>
      </x:c>
      <x:c r="W68" s="154" t="n">
        <x:f>ROUND('vLLM data'!I6,3)</x:f>
        <x:v>32.975</x:v>
      </x:c>
      <x:c r="X68" s="154" t="n">
        <x:f>ROUND('vLLM data'!J6,3)</x:f>
        <x:v>33.021</x:v>
      </x:c>
      <x:c r="Y68" s="155" t="n">
        <x:f>ROUND('vLLM data'!K6,3)</x:f>
        <x:v>0.658</x:v>
      </x:c>
      <x:c r="Z68" s="115"/>
    </x:row>
    <x:row r="69" ht="23.25" customHeight="1">
      <x:c r="A69" s="115"/>
      <x:c r="B69" s="115"/>
      <x:c r="C69" s="115"/>
      <x:c r="D69" s="115"/>
      <x:c r="E69" s="115"/>
      <x:c r="F69" s="115"/>
      <x:c r="G69" s="115"/>
      <x:c r="H69" s="115"/>
      <x:c r="I69" s="115"/>
      <x:c r="J69" s="115"/>
      <x:c r="K69" s="115"/>
      <x:c r="L69" s="115"/>
      <x:c r="M69" s="115"/>
      <x:c r="N69" s="115"/>
      <x:c r="O69" s="115"/>
      <x:c r="P69" s="115"/>
      <x:c r="Q69" s="115"/>
      <x:c r="R69" s="115"/>
      <x:c r="S69" s="115"/>
      <x:c r="T69" s="115"/>
      <x:c r="U69" s="115"/>
      <x:c r="V69" s="115"/>
      <x:c r="W69" s="115"/>
      <x:c r="X69" s="115"/>
      <x:c r="Y69" s="115"/>
      <x:c r="Z69" s="115"/>
    </x:row>
    <x:row r="70" ht="23.25" customHeight="1">
      <x:c r="A70" s="115"/>
      <x:c r="B70" s="115"/>
      <x:c r="C70" s="159" t="str">
        <x:v>50 hardest tables, shuffled in the same order.</x:v>
      </x:c>
      <x:c r="D70" s="159" t="str">
        <x:v>50 hardest tables, shuffled in the same order.</x:v>
      </x:c>
      <x:c r="E70" s="159" t="str">
        <x:v>50 hardest tables, shuffled in the same order.</x:v>
      </x:c>
      <x:c r="F70" s="159" t="str">
        <x:v>50 hardest tables, shuffled in the same order.</x:v>
      </x:c>
      <x:c r="G70" s="159" t="str">
        <x:v>50 hardest tables, shuffled in the same order.</x:v>
      </x:c>
      <x:c r="H70" s="159" t="str">
        <x:v>50 hardest tables, shuffled in the same order.</x:v>
      </x:c>
      <x:c r="I70" s="159" t="str">
        <x:v>50 hardest tables, shuffled in the same order.</x:v>
      </x:c>
      <x:c r="J70" s="159" t="str">
        <x:v>50 hardest tables, shuffled in the same order.</x:v>
      </x:c>
      <x:c r="K70" s="115"/>
      <x:c r="L70" s="160" t="str">
        <x:v>Latency = vLLM ÷ custom
QPS = custom ÷ vLLM</x:v>
      </x:c>
      <x:c r="M70" s="160" t="str">
        <x:v>Latency = vLLM ÷ custom
QPS = custom ÷ vLLM</x:v>
      </x:c>
      <x:c r="N70" s="160" t="str">
        <x:v>Latency = vLLM ÷ custom
QPS = custom ÷ vLLM</x:v>
      </x:c>
      <x:c r="O70" s="160" t="str">
        <x:v>Latency = vLLM ÷ custom
QPS = custom ÷ vLLM</x:v>
      </x:c>
      <x:c r="P70" s="115"/>
      <x:c r="Q70" s="115"/>
      <x:c r="R70" s="159" t="str">
        <x:v>C = maximum requests in flight; vLLM batches dynamically.</x:v>
      </x:c>
      <x:c r="S70" s="159" t="str">
        <x:v>C = maximum requests in flight; vLLM batches dynamically.</x:v>
      </x:c>
      <x:c r="T70" s="159" t="str">
        <x:v>C = maximum requests in flight; vLLM batches dynamically.</x:v>
      </x:c>
      <x:c r="U70" s="159" t="str">
        <x:v>C = maximum requests in flight; vLLM batches dynamically.</x:v>
      </x:c>
      <x:c r="V70" s="159" t="str">
        <x:v>C = maximum requests in flight; vLLM batches dynamically.</x:v>
      </x:c>
      <x:c r="W70" s="159" t="str">
        <x:v>C = maximum requests in flight; vLLM batches dynamically.</x:v>
      </x:c>
      <x:c r="X70" s="159" t="str">
        <x:v>C = maximum requests in flight; vLLM batches dynamically.</x:v>
      </x:c>
      <x:c r="Y70" s="159" t="str">
        <x:v>C = maximum requests in flight; vLLM batches dynamically.</x:v>
      </x:c>
      <x:c r="Z70" s="115"/>
    </x:row>
    <x:row r="71" ht="23.25" customHeight="1">
      <x:c r="A71" s="115"/>
      <x:c r="B71" s="115"/>
      <x:c r="C71" s="115"/>
      <x:c r="D71" s="115"/>
      <x:c r="E71" s="115"/>
      <x:c r="F71" s="115"/>
      <x:c r="G71" s="115"/>
      <x:c r="H71" s="115"/>
      <x:c r="I71" s="115"/>
      <x:c r="J71" s="115"/>
      <x:c r="K71" s="115"/>
      <x:c r="L71" s="160" t="str">
        <x:v>Latency = vLLM ÷ custom
QPS = custom ÷ vLLM</x:v>
      </x:c>
      <x:c r="M71" s="160" t="str">
        <x:v>Latency = vLLM ÷ custom
QPS = custom ÷ vLLM</x:v>
      </x:c>
      <x:c r="N71" s="160" t="str">
        <x:v>Latency = vLLM ÷ custom
QPS = custom ÷ vLLM</x:v>
      </x:c>
      <x:c r="O71" s="160" t="str">
        <x:v>Latency = vLLM ÷ custom
QPS = custom ÷ vLLM</x:v>
      </x:c>
      <x:c r="P71" s="115"/>
      <x:c r="Q71" s="115"/>
      <x:c r="R71" s="115"/>
      <x:c r="S71" s="115"/>
      <x:c r="T71" s="115"/>
      <x:c r="U71" s="115"/>
      <x:c r="V71" s="115"/>
      <x:c r="W71" s="115"/>
      <x:c r="X71" s="115"/>
      <x:c r="Y71" s="115"/>
      <x:c r="Z71" s="115"/>
    </x:row>
    <x:row r="72" ht="23.25" customHeight="1">
      <x:c r="A72" s="115"/>
      <x:c r="B72" s="115"/>
      <x:c r="C72" s="115"/>
      <x:c r="D72" s="115"/>
      <x:c r="E72" s="115"/>
      <x:c r="F72" s="115"/>
      <x:c r="G72" s="115"/>
      <x:c r="H72" s="115"/>
      <x:c r="I72" s="115"/>
      <x:c r="J72" s="115"/>
      <x:c r="K72" s="115"/>
      <x:c r="L72" s="115"/>
      <x:c r="M72" s="115"/>
      <x:c r="N72" s="115"/>
      <x:c r="O72" s="115"/>
      <x:c r="P72" s="115"/>
      <x:c r="Q72" s="115"/>
      <x:c r="R72" s="115"/>
      <x:c r="S72" s="115"/>
      <x:c r="T72" s="115"/>
      <x:c r="U72" s="115"/>
      <x:c r="V72" s="115"/>
      <x:c r="W72" s="115"/>
      <x:c r="X72" s="115"/>
      <x:c r="Y72" s="115"/>
      <x:c r="Z72" s="115"/>
    </x:row>
    <x:row r="73" ht="26.25" customHeight="1">
      <x:c r="A73" s="115"/>
      <x:c r="B73" s="115"/>
      <x:c r="C73" s="166" t="str">
        <x:v>Custom: All tables</x:v>
      </x:c>
      <x:c r="D73" s="170" t="str">
        <x:v>Custom: All tables</x:v>
      </x:c>
      <x:c r="E73" s="174" t="str">
        <x:v>Custom: All tables</x:v>
      </x:c>
      <x:c r="F73" s="115"/>
      <x:c r="G73" s="115"/>
      <x:c r="H73" s="115"/>
      <x:c r="I73" s="115"/>
      <x:c r="J73" s="115"/>
      <x:c r="K73" s="115"/>
      <x:c r="L73" s="166" t="str">
        <x:v>Speedup</x:v>
      </x:c>
      <x:c r="M73" s="170" t="str">
        <x:v>Speedup</x:v>
      </x:c>
      <x:c r="N73" s="170" t="str">
        <x:v>Speedup</x:v>
      </x:c>
      <x:c r="O73" s="174" t="str">
        <x:v>Speedup</x:v>
      </x:c>
      <x:c r="P73" s="115"/>
      <x:c r="Q73" s="115"/>
      <x:c r="R73" s="166" t="str">
        <x:v>vLLM: All tables</x:v>
      </x:c>
      <x:c r="S73" s="170" t="str">
        <x:v>vLLM: All tables</x:v>
      </x:c>
      <x:c r="T73" s="174" t="str">
        <x:v>vLLM: All tables</x:v>
      </x:c>
      <x:c r="U73" s="115"/>
      <x:c r="V73" s="115"/>
      <x:c r="W73" s="115"/>
      <x:c r="X73" s="115"/>
      <x:c r="Y73" s="115"/>
      <x:c r="Z73" s="115"/>
    </x:row>
    <x:row r="74" ht="24.75" customHeight="1">
      <x:c r="A74" s="115"/>
      <x:c r="B74" s="115"/>
      <x:c r="C74" s="180" t="str">
        <x:v>Concurrency/Latency</x:v>
      </x:c>
      <x:c r="D74" s="183" t="str">
        <x:v>Mean(s)</x:v>
      </x:c>
      <x:c r="E74" s="183" t="str">
        <x:v>P50(s)</x:v>
      </x:c>
      <x:c r="F74" s="183" t="str">
        <x:v>P90(s)</x:v>
      </x:c>
      <x:c r="G74" s="183" t="str">
        <x:v>P95(s)</x:v>
      </x:c>
      <x:c r="H74" s="183" t="str">
        <x:v>P99(s)</x:v>
      </x:c>
      <x:c r="I74" s="183" t="str">
        <x:v>Max(s)</x:v>
      </x:c>
      <x:c r="J74" s="183" t="str">
        <x:v>QPS</x:v>
      </x:c>
      <x:c r="K74" s="115"/>
      <x:c r="L74" s="180" t="str">
        <x:v>B / C</x:v>
      </x:c>
      <x:c r="M74" s="180" t="str">
        <x:v>Mean</x:v>
      </x:c>
      <x:c r="N74" s="180" t="str">
        <x:v>P95</x:v>
      </x:c>
      <x:c r="O74" s="180" t="str">
        <x:v>QPS</x:v>
      </x:c>
      <x:c r="P74" s="115"/>
      <x:c r="Q74" s="115"/>
      <x:c r="R74" s="180" t="str">
        <x:v>Concurrency/Latency</x:v>
      </x:c>
      <x:c r="S74" s="183" t="str">
        <x:v>Mean(s)</x:v>
      </x:c>
      <x:c r="T74" s="183" t="str">
        <x:v>P50(s)</x:v>
      </x:c>
      <x:c r="U74" s="183" t="str">
        <x:v>P90(s)</x:v>
      </x:c>
      <x:c r="V74" s="183" t="str">
        <x:v>P95(s)</x:v>
      </x:c>
      <x:c r="W74" s="183" t="str">
        <x:v>P99(s)</x:v>
      </x:c>
      <x:c r="X74" s="183" t="str">
        <x:v>Max(s)</x:v>
      </x:c>
      <x:c r="Y74" s="183" t="str">
        <x:v>QPS</x:v>
      </x:c>
      <x:c r="Z74" s="115"/>
    </x:row>
    <x:row r="75" ht="24.75" customHeight="1">
      <x:c r="A75" s="115"/>
      <x:c r="B75" s="115"/>
      <x:c r="C75" s="188" t="str">
        <x:v>B=1</x:v>
      </x:c>
      <x:c r="D75" s="191" t="n">
        <x:v>0.635</x:v>
      </x:c>
      <x:c r="E75" s="191" t="n">
        <x:v>0.446</x:v>
      </x:c>
      <x:c r="F75" s="191" t="n">
        <x:v>1.214</x:v>
      </x:c>
      <x:c r="G75" s="192" t="n">
        <x:v>1.722</x:v>
      </x:c>
      <x:c r="H75" s="191" t="n">
        <x:v>3.45</x:v>
      </x:c>
      <x:c r="I75" s="191" t="n">
        <x:v>3.681</x:v>
      </x:c>
      <x:c r="J75" s="192" t="n">
        <x:v>1.574</x:v>
      </x:c>
      <x:c r="K75" s="115"/>
      <x:c r="L75" s="188" t="n">
        <x:v>1</x:v>
      </x:c>
      <x:c r="M75" s="193" t="n">
        <x:f>S75/D75</x:f>
        <x:v>5.340157480314961</x:v>
      </x:c>
      <x:c r="N75" s="193" t="n">
        <x:f>V75/G75</x:f>
        <x:v>6.152729384436702</x:v>
      </x:c>
      <x:c r="O75" s="193" t="n">
        <x:f>J75/Y75</x:f>
        <x:v>5.335593220338984</x:v>
      </x:c>
      <x:c r="P75" s="115"/>
      <x:c r="Q75" s="115"/>
      <x:c r="R75" s="188" t="str">
        <x:v>B=1</x:v>
      </x:c>
      <x:c r="S75" s="191" t="n">
        <x:f>ROUND('vLLM data'!E7,3)</x:f>
        <x:v>3.391</x:v>
      </x:c>
      <x:c r="T75" s="191" t="n">
        <x:f>ROUND('vLLM data'!F7,3)</x:f>
        <x:v>1.949</x:v>
      </x:c>
      <x:c r="U75" s="191" t="n">
        <x:f>ROUND('vLLM data'!G7,3)</x:f>
        <x:v>6.98</x:v>
      </x:c>
      <x:c r="V75" s="192" t="n">
        <x:f>ROUND('vLLM data'!H7,3)</x:f>
        <x:v>10.595</x:v>
      </x:c>
      <x:c r="W75" s="191" t="n">
        <x:f>ROUND('vLLM data'!I7,3)</x:f>
        <x:v>22.409</x:v>
      </x:c>
      <x:c r="X75" s="191" t="n">
        <x:f>ROUND('vLLM data'!J7,3)</x:f>
        <x:v>24.214</x:v>
      </x:c>
      <x:c r="Y75" s="192" t="n">
        <x:f>ROUND('vLLM data'!K7,3)</x:f>
        <x:v>0.295</x:v>
      </x:c>
      <x:c r="Z75" s="115"/>
    </x:row>
    <x:row r="76" ht="24.75" customHeight="1">
      <x:c r="A76" s="115"/>
      <x:c r="B76" s="115"/>
      <x:c r="C76" s="188" t="str">
        <x:v>B=2</x:v>
      </x:c>
      <x:c r="D76" s="191" t="n">
        <x:v>0.793</x:v>
      </x:c>
      <x:c r="E76" s="191" t="n">
        <x:v>0.527</x:v>
      </x:c>
      <x:c r="F76" s="191" t="n">
        <x:v>1.492</x:v>
      </x:c>
      <x:c r="G76" s="192" t="n">
        <x:v>2.151</x:v>
      </x:c>
      <x:c r="H76" s="191" t="n">
        <x:v>4.915</x:v>
      </x:c>
      <x:c r="I76" s="191" t="n">
        <x:v>5.081</x:v>
      </x:c>
      <x:c r="J76" s="192" t="n">
        <x:v>2.483</x:v>
      </x:c>
      <x:c r="K76" s="115"/>
      <x:c r="L76" s="188" t="n">
        <x:v>2</x:v>
      </x:c>
      <x:c r="M76" s="193" t="n">
        <x:f>S76/D76</x:f>
        <x:v>4.6317780580075665</x:v>
      </x:c>
      <x:c r="N76" s="193" t="n">
        <x:f>V76/G76</x:f>
        <x:v>5.3175267317526735</x:v>
      </x:c>
      <x:c r="O76" s="193" t="n">
        <x:f>J76/Y76</x:f>
        <x:v>4.658536585365853</x:v>
      </x:c>
      <x:c r="P76" s="115"/>
      <x:c r="Q76" s="115"/>
      <x:c r="R76" s="188" t="str">
        <x:v>B=2</x:v>
      </x:c>
      <x:c r="S76" s="191" t="n">
        <x:f>ROUND('vLLM data'!E8,3)</x:f>
        <x:v>3.673</x:v>
      </x:c>
      <x:c r="T76" s="191" t="n">
        <x:f>ROUND('vLLM data'!F8,3)</x:f>
        <x:v>2.191</x:v>
      </x:c>
      <x:c r="U76" s="191" t="n">
        <x:f>ROUND('vLLM data'!G8,3)</x:f>
        <x:v>7.368</x:v>
      </x:c>
      <x:c r="V76" s="192" t="n">
        <x:f>ROUND('vLLM data'!H8,3)</x:f>
        <x:v>11.438</x:v>
      </x:c>
      <x:c r="W76" s="191" t="n">
        <x:f>ROUND('vLLM data'!I8,3)</x:f>
        <x:v>23.885</x:v>
      </x:c>
      <x:c r="X76" s="191" t="n">
        <x:f>ROUND('vLLM data'!J8,3)</x:f>
        <x:v>25.928</x:v>
      </x:c>
      <x:c r="Y76" s="192" t="n">
        <x:f>ROUND('vLLM data'!K8,3)</x:f>
        <x:v>0.533</x:v>
      </x:c>
      <x:c r="Z76" s="115"/>
    </x:row>
    <x:row r="77" ht="24.75" customHeight="1">
      <x:c r="A77" s="115"/>
      <x:c r="B77" s="115"/>
      <x:c r="C77" s="188" t="str">
        <x:v>B=4</x:v>
      </x:c>
      <x:c r="D77" s="191" t="n">
        <x:v>1.184</x:v>
      </x:c>
      <x:c r="E77" s="191" t="n">
        <x:v>0.73</x:v>
      </x:c>
      <x:c r="F77" s="191" t="n">
        <x:v>2.553</x:v>
      </x:c>
      <x:c r="G77" s="192" t="n">
        <x:v>3.35</x:v>
      </x:c>
      <x:c r="H77" s="191" t="n">
        <x:v>7.289</x:v>
      </x:c>
      <x:c r="I77" s="191" t="n">
        <x:v>7.785</x:v>
      </x:c>
      <x:c r="J77" s="192" t="n">
        <x:v>3.241</x:v>
      </x:c>
      <x:c r="K77" s="115"/>
      <x:c r="L77" s="188" t="n">
        <x:v>4</x:v>
      </x:c>
      <x:c r="M77" s="193" t="n">
        <x:f>S77/D77</x:f>
        <x:v>3.3564189189189193</x:v>
      </x:c>
      <x:c r="N77" s="193" t="n">
        <x:f>V77/G77</x:f>
        <x:v>4.016417910447761</x:v>
      </x:c>
      <x:c r="O77" s="193" t="n">
        <x:f>J77/Y77</x:f>
        <x:v>3.511375947995666</x:v>
      </x:c>
      <x:c r="P77" s="115"/>
      <x:c r="Q77" s="115"/>
      <x:c r="R77" s="188" t="str">
        <x:v>B=4</x:v>
      </x:c>
      <x:c r="S77" s="191" t="n">
        <x:f>ROUND('vLLM data'!E9,3)</x:f>
        <x:v>3.974</x:v>
      </x:c>
      <x:c r="T77" s="191" t="n">
        <x:f>ROUND('vLLM data'!F9,3)</x:f>
        <x:v>2.225</x:v>
      </x:c>
      <x:c r="U77" s="191" t="n">
        <x:f>ROUND('vLLM data'!G9,3)</x:f>
        <x:v>8.091</x:v>
      </x:c>
      <x:c r="V77" s="192" t="n">
        <x:f>ROUND('vLLM data'!H9,3)</x:f>
        <x:v>13.455</x:v>
      </x:c>
      <x:c r="W77" s="191" t="n">
        <x:f>ROUND('vLLM data'!I9,3)</x:f>
        <x:v>26.443</x:v>
      </x:c>
      <x:c r="X77" s="191" t="n">
        <x:f>ROUND('vLLM data'!J9,3)</x:f>
        <x:v>27.812</x:v>
      </x:c>
      <x:c r="Y77" s="192" t="n">
        <x:f>ROUND('vLLM data'!K9,3)</x:f>
        <x:v>0.923</x:v>
      </x:c>
      <x:c r="Z77" s="115"/>
    </x:row>
    <x:row r="78" ht="24.75" customHeight="1">
      <x:c r="A78" s="115"/>
      <x:c r="B78" s="115"/>
      <x:c r="C78" s="188" t="str">
        <x:v>B=8</x:v>
      </x:c>
      <x:c r="D78" s="191" t="n">
        <x:v>1.857</x:v>
      </x:c>
      <x:c r="E78" s="191" t="n">
        <x:v>1.181</x:v>
      </x:c>
      <x:c r="F78" s="191" t="n">
        <x:v>3.815</x:v>
      </x:c>
      <x:c r="G78" s="192" t="n">
        <x:v>5.181</x:v>
      </x:c>
      <x:c r="H78" s="191" t="n">
        <x:v>12.185</x:v>
      </x:c>
      <x:c r="I78" s="191" t="n">
        <x:v>14.403</x:v>
      </x:c>
      <x:c r="J78" s="192" t="n">
        <x:v>4.003</x:v>
      </x:c>
      <x:c r="K78" s="115"/>
      <x:c r="L78" s="188" t="n">
        <x:v>8</x:v>
      </x:c>
      <x:c r="M78" s="193" t="n">
        <x:f>S78/D78</x:f>
        <x:v>2.4259558427571353</x:v>
      </x:c>
      <x:c r="N78" s="193" t="n">
        <x:f>V78/G78</x:f>
        <x:v>2.5439104419996137</x:v>
      </x:c>
      <x:c r="O78" s="193" t="n">
        <x:f>J78/Y78</x:f>
        <x:v>2.6027308192457737</x:v>
      </x:c>
      <x:c r="P78" s="115"/>
      <x:c r="Q78" s="115"/>
      <x:c r="R78" s="188" t="str">
        <x:v>B=8</x:v>
      </x:c>
      <x:c r="S78" s="191" t="n">
        <x:f>ROUND('vLLM data'!E10,3)</x:f>
        <x:v>4.505</x:v>
      </x:c>
      <x:c r="T78" s="191" t="n">
        <x:f>ROUND('vLLM data'!F10,3)</x:f>
        <x:v>2.631</x:v>
      </x:c>
      <x:c r="U78" s="191" t="n">
        <x:f>ROUND('vLLM data'!G10,3)</x:f>
        <x:v>9.229</x:v>
      </x:c>
      <x:c r="V78" s="192" t="n">
        <x:f>ROUND('vLLM data'!H10,3)</x:f>
        <x:v>13.18</x:v>
      </x:c>
      <x:c r="W78" s="191" t="n">
        <x:f>ROUND('vLLM data'!I10,3)</x:f>
        <x:v>30.305</x:v>
      </x:c>
      <x:c r="X78" s="191" t="n">
        <x:f>ROUND('vLLM data'!J10,3)</x:f>
        <x:v>32.984</x:v>
      </x:c>
      <x:c r="Y78" s="192" t="n">
        <x:f>ROUND('vLLM data'!K10,3)</x:f>
        <x:v>1.538</x:v>
      </x:c>
      <x:c r="Z78" s="115"/>
    </x:row>
    <x:row r="79" ht="24.75" customHeight="1">
      <x:c r="A79" s="115"/>
      <x:c r="B79" s="115"/>
      <x:c r="C79" s="188" t="str">
        <x:v>B=16</x:v>
      </x:c>
      <x:c r="D79" s="191" t="n">
        <x:v>3.168</x:v>
      </x:c>
      <x:c r="E79" s="191" t="n">
        <x:v>2.161</x:v>
      </x:c>
      <x:c r="F79" s="191" t="n">
        <x:v>6.132</x:v>
      </x:c>
      <x:c r="G79" s="192" t="n">
        <x:v>8.284</x:v>
      </x:c>
      <x:c r="H79" s="191" t="n">
        <x:v>15.868</x:v>
      </x:c>
      <x:c r="I79" s="191" t="n">
        <x:v>20.789</x:v>
      </x:c>
      <x:c r="J79" s="192" t="n">
        <x:v>4.513</x:v>
      </x:c>
      <x:c r="K79" s="115"/>
      <x:c r="L79" s="188" t="n">
        <x:v>16</x:v>
      </x:c>
      <x:c r="M79" s="193" t="n">
        <x:f>S79/D79</x:f>
        <x:v>1.6922348484848484</x:v>
      </x:c>
      <x:c r="N79" s="193" t="n">
        <x:f>V79/G79</x:f>
        <x:v>1.7550700144857554</x:v>
      </x:c>
      <x:c r="O79" s="193" t="n">
        <x:f>J79/Y79</x:f>
        <x:v>1.9179770505737355</x:v>
      </x:c>
      <x:c r="P79" s="115"/>
      <x:c r="Q79" s="115"/>
      <x:c r="R79" s="188" t="str">
        <x:v>B=16</x:v>
      </x:c>
      <x:c r="S79" s="191" t="n">
        <x:f>ROUND('vLLM data'!E11,3)</x:f>
        <x:v>5.361</x:v>
      </x:c>
      <x:c r="T79" s="191" t="n">
        <x:f>ROUND('vLLM data'!F11,3)</x:f>
        <x:v>3.198</x:v>
      </x:c>
      <x:c r="U79" s="191" t="n">
        <x:f>ROUND('vLLM data'!G11,3)</x:f>
        <x:v>10.958</x:v>
      </x:c>
      <x:c r="V79" s="192" t="n">
        <x:f>ROUND('vLLM data'!H11,3)</x:f>
        <x:v>14.539</x:v>
      </x:c>
      <x:c r="W79" s="191" t="n">
        <x:f>ROUND('vLLM data'!I11,3)</x:f>
        <x:v>30.509</x:v>
      </x:c>
      <x:c r="X79" s="191" t="n">
        <x:f>ROUND('vLLM data'!J11,3)</x:f>
        <x:v>37.092</x:v>
      </x:c>
      <x:c r="Y79" s="192" t="n">
        <x:f>ROUND('vLLM data'!K11,3)</x:f>
        <x:v>2.353</x:v>
      </x:c>
      <x:c r="Z79" s="115"/>
    </x:row>
    <x:row r="80" ht="23.25" customHeight="1">
      <x:c r="A80" s="115"/>
      <x:c r="B80" s="115"/>
      <x:c r="C80" s="115"/>
      <x:c r="D80" s="115"/>
      <x:c r="E80" s="115"/>
      <x:c r="F80" s="115"/>
      <x:c r="G80" s="115"/>
      <x:c r="H80" s="115"/>
      <x:c r="I80" s="115"/>
      <x:c r="J80" s="115"/>
      <x:c r="K80" s="115"/>
      <x:c r="L80" s="115"/>
      <x:c r="M80" s="115"/>
      <x:c r="N80" s="115"/>
      <x:c r="O80" s="115"/>
      <x:c r="P80" s="115"/>
      <x:c r="Q80" s="115"/>
      <x:c r="R80" s="115"/>
      <x:c r="S80" s="115"/>
      <x:c r="T80" s="115"/>
      <x:c r="U80" s="115"/>
      <x:c r="V80" s="115"/>
      <x:c r="W80" s="115"/>
      <x:c r="X80" s="115"/>
      <x:c r="Y80" s="115"/>
      <x:c r="Z80" s="115"/>
    </x:row>
    <x:row r="81" ht="23.25" customHeight="1">
      <x:c r="A81" s="115"/>
      <x:c r="B81" s="115"/>
      <x:c r="C81" s="159" t="str">
        <x:v>100 tables sampled from the full 665-table corpus.</x:v>
      </x:c>
      <x:c r="D81" s="159" t="str">
        <x:v>100 tables sampled from the full 665-table corpus.</x:v>
      </x:c>
      <x:c r="E81" s="159" t="str">
        <x:v>100 tables sampled from the full 665-table corpus.</x:v>
      </x:c>
      <x:c r="F81" s="159" t="str">
        <x:v>100 tables sampled from the full 665-table corpus.</x:v>
      </x:c>
      <x:c r="G81" s="159" t="str">
        <x:v>100 tables sampled from the full 665-table corpus.</x:v>
      </x:c>
      <x:c r="H81" s="159" t="str">
        <x:v>100 tables sampled from the full 665-table corpus.</x:v>
      </x:c>
      <x:c r="I81" s="159" t="str">
        <x:v>100 tables sampled from the full 665-table corpus.</x:v>
      </x:c>
      <x:c r="J81" s="159" t="str">
        <x:v>100 tables sampled from the full 665-table corpus.</x:v>
      </x:c>
      <x:c r="K81" s="115"/>
      <x:c r="L81" s="160" t="str">
        <x:v>Latency = vLLM ÷ custom
QPS = custom ÷ vLLM</x:v>
      </x:c>
      <x:c r="M81" s="160" t="str">
        <x:v>Latency = vLLM ÷ custom
QPS = custom ÷ vLLM</x:v>
      </x:c>
      <x:c r="N81" s="160" t="str">
        <x:v>Latency = vLLM ÷ custom
QPS = custom ÷ vLLM</x:v>
      </x:c>
      <x:c r="O81" s="160" t="str">
        <x:v>Latency = vLLM ÷ custom
QPS = custom ÷ vLLM</x:v>
      </x:c>
      <x:c r="P81" s="115"/>
      <x:c r="Q81" s="115"/>
      <x:c r="R81" s="159" t="str">
        <x:v>Same 100 tables and dispatch order as custom.</x:v>
      </x:c>
      <x:c r="S81" s="159" t="str">
        <x:v>Same 100 tables and dispatch order as custom.</x:v>
      </x:c>
      <x:c r="T81" s="159" t="str">
        <x:v>Same 100 tables and dispatch order as custom.</x:v>
      </x:c>
      <x:c r="U81" s="159" t="str">
        <x:v>Same 100 tables and dispatch order as custom.</x:v>
      </x:c>
      <x:c r="V81" s="159" t="str">
        <x:v>Same 100 tables and dispatch order as custom.</x:v>
      </x:c>
      <x:c r="W81" s="159" t="str">
        <x:v>Same 100 tables and dispatch order as custom.</x:v>
      </x:c>
      <x:c r="X81" s="159" t="str">
        <x:v>Same 100 tables and dispatch order as custom.</x:v>
      </x:c>
      <x:c r="Y81" s="159" t="str">
        <x:v>Same 100 tables and dispatch order as custom.</x:v>
      </x:c>
      <x:c r="Z81" s="115"/>
    </x:row>
    <x:row r="82" ht="23.25" customHeight="1">
      <x:c r="A82" s="115"/>
      <x:c r="B82" s="115"/>
      <x:c r="C82" s="115"/>
      <x:c r="D82" s="115"/>
      <x:c r="E82" s="115"/>
      <x:c r="F82" s="115"/>
      <x:c r="G82" s="115"/>
      <x:c r="H82" s="115"/>
      <x:c r="I82" s="115"/>
      <x:c r="J82" s="115"/>
      <x:c r="K82" s="115"/>
      <x:c r="L82" s="160" t="str">
        <x:v>Latency = vLLM ÷ custom
QPS = custom ÷ vLLM</x:v>
      </x:c>
      <x:c r="M82" s="160" t="str">
        <x:v>Latency = vLLM ÷ custom
QPS = custom ÷ vLLM</x:v>
      </x:c>
      <x:c r="N82" s="160" t="str">
        <x:v>Latency = vLLM ÷ custom
QPS = custom ÷ vLLM</x:v>
      </x:c>
      <x:c r="O82" s="160" t="str">
        <x:v>Latency = vLLM ÷ custom
QPS = custom ÷ vLLM</x:v>
      </x:c>
      <x:c r="P82" s="115"/>
      <x:c r="Q82" s="115"/>
      <x:c r="R82" s="115"/>
      <x:c r="S82" s="115"/>
      <x:c r="T82" s="115"/>
      <x:c r="U82" s="115"/>
      <x:c r="V82" s="115"/>
      <x:c r="W82" s="115"/>
      <x:c r="X82" s="115"/>
      <x:c r="Y82" s="115"/>
      <x:c r="Z82" s="115"/>
    </x:row>
    <x:row r="83" ht="23.25" customHeight="1">
      <x:c r="A83" s="115"/>
      <x:c r="B83" s="115"/>
      <x:c r="C83" s="159" t="str">
        <x:v>Latency is in seconds. QPS is achieved closed-loop throughput. Ascend 910B2; startup and warmup excluded.</x:v>
      </x:c>
      <x:c r="D83" s="159" t="str">
        <x:v>Latency is in seconds. QPS is achieved closed-loop throughput. Ascend 910B2; startup and warmup excluded.</x:v>
      </x:c>
      <x:c r="E83" s="159" t="str">
        <x:v>Latency is in seconds. QPS is achieved closed-loop throughput. Ascend 910B2; startup and warmup excluded.</x:v>
      </x:c>
      <x:c r="F83" s="159" t="str">
        <x:v>Latency is in seconds. QPS is achieved closed-loop throughput. Ascend 910B2; startup and warmup excluded.</x:v>
      </x:c>
      <x:c r="G83" s="159" t="str">
        <x:v>Latency is in seconds. QPS is achieved closed-loop throughput. Ascend 910B2; startup and warmup excluded.</x:v>
      </x:c>
      <x:c r="H83" s="159" t="str">
        <x:v>Latency is in seconds. QPS is achieved closed-loop throughput. Ascend 910B2; startup and warmup excluded.</x:v>
      </x:c>
      <x:c r="I83" s="159" t="str">
        <x:v>Latency is in seconds. QPS is achieved closed-loop throughput. Ascend 910B2; startup and warmup excluded.</x:v>
      </x:c>
      <x:c r="J83" s="159" t="str">
        <x:v>Latency is in seconds. QPS is achieved closed-loop throughput. Ascend 910B2; startup and warmup excluded.</x:v>
      </x:c>
      <x:c r="K83" s="159" t="str">
        <x:v>Latency is in seconds. QPS is achieved closed-loop throughput. Ascend 910B2; startup and warmup excluded.</x:v>
      </x:c>
      <x:c r="L83" s="159" t="str">
        <x:v>Latency is in seconds. QPS is achieved closed-loop throughput. Ascend 910B2; startup and warmup excluded.</x:v>
      </x:c>
      <x:c r="M83" s="159" t="str">
        <x:v>Latency is in seconds. QPS is achieved closed-loop throughput. Ascend 910B2; startup and warmup excluded.</x:v>
      </x:c>
      <x:c r="N83" s="159" t="str">
        <x:v>Latency is in seconds. QPS is achieved closed-loop throughput. Ascend 910B2; startup and warmup excluded.</x:v>
      </x:c>
      <x:c r="O83" s="159" t="str">
        <x:v>Latency is in seconds. QPS is achieved closed-loop throughput. Ascend 910B2; startup and warmup excluded.</x:v>
      </x:c>
      <x:c r="P83" s="159" t="str">
        <x:v>Latency is in seconds. QPS is achieved closed-loop throughput. Ascend 910B2; startup and warmup excluded.</x:v>
      </x:c>
      <x:c r="Q83" s="159" t="str">
        <x:v>Latency is in seconds. QPS is achieved closed-loop throughput. Ascend 910B2; startup and warmup excluded.</x:v>
      </x:c>
      <x:c r="R83" s="159" t="str">
        <x:v>Latency is in seconds. QPS is achieved closed-loop throughput. Ascend 910B2; startup and warmup excluded.</x:v>
      </x:c>
      <x:c r="S83" s="159" t="str">
        <x:v>Latency is in seconds. QPS is achieved closed-loop throughput. Ascend 910B2; startup and warmup excluded.</x:v>
      </x:c>
      <x:c r="T83" s="159" t="str">
        <x:v>Latency is in seconds. QPS is achieved closed-loop throughput. Ascend 910B2; startup and warmup excluded.</x:v>
      </x:c>
      <x:c r="U83" s="159" t="str">
        <x:v>Latency is in seconds. QPS is achieved closed-loop throughput. Ascend 910B2; startup and warmup excluded.</x:v>
      </x:c>
      <x:c r="V83" s="159" t="str">
        <x:v>Latency is in seconds. QPS is achieved closed-loop throughput. Ascend 910B2; startup and warmup excluded.</x:v>
      </x:c>
      <x:c r="W83" s="159" t="str">
        <x:v>Latency is in seconds. QPS is achieved closed-loop throughput. Ascend 910B2; startup and warmup excluded.</x:v>
      </x:c>
      <x:c r="X83" s="159" t="str">
        <x:v>Latency is in seconds. QPS is achieved closed-loop throughput. Ascend 910B2; startup and warmup excluded.</x:v>
      </x:c>
      <x:c r="Y83" s="159" t="str">
        <x:v>Latency is in seconds. QPS is achieved closed-loop throughput. Ascend 910B2; startup and warmup excluded.</x:v>
      </x:c>
      <x:c r="Z83" s="115"/>
    </x:row>
    <x:row r="84" ht="23.25" customHeight="1">
      <x:c r="A84" s="115"/>
      <x:c r="B84" s="115"/>
      <x:c r="C84" s="115"/>
      <x:c r="D84" s="115"/>
      <x:c r="E84" s="115"/>
      <x:c r="F84" s="115"/>
      <x:c r="G84" s="115"/>
      <x:c r="H84" s="115"/>
      <x:c r="I84" s="115"/>
      <x:c r="J84" s="115"/>
      <x:c r="K84" s="115"/>
      <x:c r="L84" s="115"/>
      <x:c r="M84" s="115"/>
      <x:c r="N84" s="115"/>
      <x:c r="O84" s="115"/>
      <x:c r="P84" s="115"/>
      <x:c r="Q84" s="115"/>
      <x:c r="R84" s="115"/>
      <x:c r="S84" s="115"/>
      <x:c r="T84" s="115"/>
      <x:c r="U84" s="115"/>
      <x:c r="V84" s="115"/>
      <x:c r="W84" s="115"/>
      <x:c r="X84" s="115"/>
      <x:c r="Y84" s="115"/>
      <x:c r="Z84" s="115"/>
    </x:row>
    <x:row r="85" ht="23.25" customHeight="1">
      <x:c r="A85" s="115"/>
      <x:c r="B85" s="115"/>
      <x:c r="C85" s="115"/>
      <x:c r="D85" s="115"/>
      <x:c r="E85" s="115"/>
      <x:c r="F85" s="115"/>
      <x:c r="G85" s="115"/>
      <x:c r="H85" s="115"/>
      <x:c r="I85" s="115"/>
      <x:c r="J85" s="115"/>
      <x:c r="K85" s="115"/>
      <x:c r="L85" s="115"/>
      <x:c r="M85" s="115"/>
      <x:c r="N85" s="115"/>
      <x:c r="O85" s="115"/>
      <x:c r="P85" s="115"/>
      <x:c r="Q85" s="115"/>
      <x:c r="R85" s="115"/>
      <x:c r="S85" s="115"/>
      <x:c r="T85" s="115"/>
      <x:c r="U85" s="115"/>
      <x:c r="V85" s="115"/>
      <x:c r="W85" s="115"/>
      <x:c r="X85" s="115"/>
      <x:c r="Y85" s="115"/>
      <x:c r="Z85" s="115"/>
    </x:row>
    <x:row r="86" ht="23.25" customHeight="1">
      <x:c r="A86" s="115"/>
      <x:c r="B86" s="115"/>
      <x:c r="C86" s="119" t="str">
        <x:v>Latest optimizations · 1,000 requests · 2026-09-06</x:v>
      </x:c>
      <x:c r="D86" s="119" t="str">
        <x:v>New optimizations · 1,000 requests · 2026-09-05</x:v>
      </x:c>
      <x:c r="E86" s="119" t="str">
        <x:v>New optimizations · 1,000 requests · 2026-09-05</x:v>
      </x:c>
      <x:c r="F86" s="119" t="str">
        <x:v>New optimizations · 1,000 requests · 2026-09-05</x:v>
      </x:c>
      <x:c r="G86" s="119" t="str">
        <x:v>New optimizations · 1,000 requests · 2026-09-05</x:v>
      </x:c>
      <x:c r="H86" s="119" t="str">
        <x:v>New optimizations · 1,000 requests · 2026-09-05</x:v>
      </x:c>
      <x:c r="I86" s="119" t="str">
        <x:v>New optimizations · 1,000 requests · 2026-09-05</x:v>
      </x:c>
      <x:c r="J86" s="119" t="str">
        <x:v>New optimizations · 1,000 requests · 2026-09-05</x:v>
      </x:c>
      <x:c r="K86" s="115"/>
      <x:c r="L86" s="115"/>
      <x:c r="M86" s="115"/>
      <x:c r="N86" s="115"/>
      <x:c r="O86" s="115"/>
      <x:c r="P86" s="115"/>
      <x:c r="Q86" s="115"/>
      <x:c r="R86" s="115"/>
      <x:c r="S86" s="115"/>
      <x:c r="T86" s="115"/>
      <x:c r="U86" s="115"/>
      <x:c r="V86" s="115"/>
      <x:c r="W86" s="115"/>
      <x:c r="X86" s="115"/>
      <x:c r="Y86" s="115"/>
      <x:c r="Z86" s="115"/>
    </x:row>
    <x:row r="87" ht="26.25" customHeight="1">
      <x:c r="A87" s="115"/>
      <x:c r="B87" s="115"/>
      <x:c r="C87" s="166" t="str">
        <x:v>Custom: all 665 + 335</x:v>
      </x:c>
      <x:c r="D87" s="170" t="str">
        <x:v>Custom: all 665 + 335</x:v>
      </x:c>
      <x:c r="E87" s="174" t="str">
        <x:v>Custom: all 665 + 335</x:v>
      </x:c>
      <x:c r="F87" s="115"/>
      <x:c r="G87" s="115"/>
      <x:c r="H87" s="115"/>
      <x:c r="I87" s="115"/>
      <x:c r="J87" s="115"/>
      <x:c r="K87" s="115"/>
      <x:c r="L87" s="115"/>
      <x:c r="M87" s="115"/>
      <x:c r="N87" s="115"/>
      <x:c r="O87" s="115"/>
      <x:c r="P87" s="115"/>
      <x:c r="Q87" s="115"/>
      <x:c r="R87" s="115"/>
      <x:c r="S87" s="115"/>
      <x:c r="T87" s="115"/>
      <x:c r="U87" s="115"/>
      <x:c r="V87" s="115"/>
      <x:c r="W87" s="115"/>
      <x:c r="X87" s="115"/>
      <x:c r="Y87" s="115"/>
      <x:c r="Z87" s="115"/>
    </x:row>
    <x:row r="88" ht="24.75" customHeight="1">
      <x:c r="A88" s="115"/>
      <x:c r="B88" s="115"/>
      <x:c r="C88" s="180" t="str">
        <x:v>Concurrency/Latency</x:v>
      </x:c>
      <x:c r="D88" s="183" t="str">
        <x:v>Mean(s)</x:v>
      </x:c>
      <x:c r="E88" s="183" t="str">
        <x:v>P50(s)</x:v>
      </x:c>
      <x:c r="F88" s="183" t="str">
        <x:v>P90(s)</x:v>
      </x:c>
      <x:c r="G88" s="183" t="str">
        <x:v>P95(s)</x:v>
      </x:c>
      <x:c r="H88" s="183" t="str">
        <x:v>P99(s)</x:v>
      </x:c>
      <x:c r="I88" s="183" t="str">
        <x:v>Max(s)</x:v>
      </x:c>
      <x:c r="J88" s="183" t="str">
        <x:v>QPS</x:v>
      </x:c>
      <x:c r="K88" s="115"/>
      <x:c r="L88" s="196" t="str">
        <x:v>The new block uses a larger, different workload than the historical random-100 block. No matched new vLLM run was requested; cross-block changes are not controlled speedup measurements.</x:v>
      </x:c>
      <x:c r="M88" s="196" t="str">
        <x:v>The new block uses a larger, different workload than the historical random-100 block. No matched new vLLM run was requested; cross-block changes are not controlled speedup measurements.</x:v>
      </x:c>
      <x:c r="N88" s="196" t="str">
        <x:v>The new block uses a larger, different workload than the historical random-100 block. No matched new vLLM run was requested; cross-block changes are not controlled speedup measurements.</x:v>
      </x:c>
      <x:c r="O88" s="196" t="str">
        <x:v>The new block uses a larger, different workload than the historical random-100 block. No matched new vLLM run was requested; cross-block changes are not controlled speedup measurements.</x:v>
      </x:c>
      <x:c r="P88" s="196" t="str">
        <x:v>The new block uses a larger, different workload than the historical random-100 block. No matched new vLLM run was requested; cross-block changes are not controlled speedup measurements.</x:v>
      </x:c>
      <x:c r="Q88" s="196" t="str">
        <x:v>The new block uses a larger, different workload than the historical random-100 block. No matched new vLLM run was requested; cross-block changes are not controlled speedup measurements.</x:v>
      </x:c>
      <x:c r="R88" s="196" t="str">
        <x:v>The new block uses a larger, different workload than the historical random-100 block. No matched new vLLM run was requested; cross-block changes are not controlled speedup measurements.</x:v>
      </x:c>
      <x:c r="S88" s="196" t="str">
        <x:v>The new block uses a larger, different workload than the historical random-100 block. No matched new vLLM run was requested; cross-block changes are not controlled speedup measurements.</x:v>
      </x:c>
      <x:c r="T88" s="196" t="str">
        <x:v>The new block uses a larger, different workload than the historical random-100 block. No matched new vLLM run was requested; cross-block changes are not controlled speedup measurements.</x:v>
      </x:c>
      <x:c r="U88" s="196" t="str">
        <x:v>The new block uses a larger, different workload than the historical random-100 block. No matched new vLLM run was requested; cross-block changes are not controlled speedup measurements.</x:v>
      </x:c>
      <x:c r="V88" s="196" t="str">
        <x:v>The new block uses a larger, different workload than the historical random-100 block. No matched new vLLM run was requested; cross-block changes are not controlled speedup measurements.</x:v>
      </x:c>
      <x:c r="W88" s="196" t="str">
        <x:v>The new block uses a larger, different workload than the historical random-100 block. No matched new vLLM run was requested; cross-block changes are not controlled speedup measurements.</x:v>
      </x:c>
      <x:c r="X88" s="196" t="str">
        <x:v>The new block uses a larger, different workload than the historical random-100 block. No matched new vLLM run was requested; cross-block changes are not controlled speedup measurements.</x:v>
      </x:c>
      <x:c r="Y88" s="196" t="str">
        <x:v>The new block uses a larger, different workload than the historical random-100 block. No matched new vLLM run was requested; cross-block changes are not controlled speedup measurements.</x:v>
      </x:c>
      <x:c r="Z88" s="115"/>
    </x:row>
    <x:row r="89" ht="24.75" customHeight="1">
      <x:c r="A89" s="115"/>
      <x:c r="B89" s="115"/>
      <x:c r="C89" s="188" t="str">
        <x:v>B1 / C1</x:v>
      </x:c>
      <x:c r="D89" s="191" t="n">
        <x:v>0.5213162477005971</x:v>
      </x:c>
      <x:c r="E89" s="191" t="n">
        <x:v>0.33059578901156783</x:v>
      </x:c>
      <x:c r="F89" s="191" t="n">
        <x:v>1.1335126296267846</x:v>
      </x:c>
      <x:c r="G89" s="192" t="n">
        <x:v>1.6565518201270606</x:v>
      </x:c>
      <x:c r="H89" s="191" t="n">
        <x:v>3.3628204637719317</x:v>
      </x:c>
      <x:c r="I89" s="191" t="n">
        <x:v>3.429513827082701</x:v>
      </x:c>
      <x:c r="J89" s="192" t="n">
        <x:v>1.916940128951687</x:v>
      </x:c>
      <x:c r="K89" s="115"/>
      <x:c r="L89" s="196" t="str">
        <x:v>The new block uses a larger, different workload than the historical random-100 block. No matched new vLLM run was requested; cross-block changes are not controlled speedup measurements.</x:v>
      </x:c>
      <x:c r="M89" s="196" t="str">
        <x:v>The new block uses a larger, different workload than the historical random-100 block. No matched new vLLM run was requested; cross-block changes are not controlled speedup measurements.</x:v>
      </x:c>
      <x:c r="N89" s="196" t="str">
        <x:v>The new block uses a larger, different workload than the historical random-100 block. No matched new vLLM run was requested; cross-block changes are not controlled speedup measurements.</x:v>
      </x:c>
      <x:c r="O89" s="196" t="str">
        <x:v>The new block uses a larger, different workload than the historical random-100 block. No matched new vLLM run was requested; cross-block changes are not controlled speedup measurements.</x:v>
      </x:c>
      <x:c r="P89" s="196" t="str">
        <x:v>The new block uses a larger, different workload than the historical random-100 block. No matched new vLLM run was requested; cross-block changes are not controlled speedup measurements.</x:v>
      </x:c>
      <x:c r="Q89" s="196" t="str">
        <x:v>The new block uses a larger, different workload than the historical random-100 block. No matched new vLLM run was requested; cross-block changes are not controlled speedup measurements.</x:v>
      </x:c>
      <x:c r="R89" s="196" t="str">
        <x:v>The new block uses a larger, different workload than the historical random-100 block. No matched new vLLM run was requested; cross-block changes are not controlled speedup measurements.</x:v>
      </x:c>
      <x:c r="S89" s="196" t="str">
        <x:v>The new block uses a larger, different workload than the historical random-100 block. No matched new vLLM run was requested; cross-block changes are not controlled speedup measurements.</x:v>
      </x:c>
      <x:c r="T89" s="196" t="str">
        <x:v>The new block uses a larger, different workload than the historical random-100 block. No matched new vLLM run was requested; cross-block changes are not controlled speedup measurements.</x:v>
      </x:c>
      <x:c r="U89" s="196" t="str">
        <x:v>The new block uses a larger, different workload than the historical random-100 block. No matched new vLLM run was requested; cross-block changes are not controlled speedup measurements.</x:v>
      </x:c>
      <x:c r="V89" s="196" t="str">
        <x:v>The new block uses a larger, different workload than the historical random-100 block. No matched new vLLM run was requested; cross-block changes are not controlled speedup measurements.</x:v>
      </x:c>
      <x:c r="W89" s="196" t="str">
        <x:v>The new block uses a larger, different workload than the historical random-100 block. No matched new vLLM run was requested; cross-block changes are not controlled speedup measurements.</x:v>
      </x:c>
      <x:c r="X89" s="196" t="str">
        <x:v>The new block uses a larger, different workload than the historical random-100 block. No matched new vLLM run was requested; cross-block changes are not controlled speedup measurements.</x:v>
      </x:c>
      <x:c r="Y89" s="196" t="str">
        <x:v>The new block uses a larger, different workload than the historical random-100 block. No matched new vLLM run was requested; cross-block changes are not controlled speedup measurements.</x:v>
      </x:c>
      <x:c r="Z89" s="115"/>
    </x:row>
    <x:row r="90" ht="24.75" customHeight="1">
      <x:c r="A90" s="115"/>
      <x:c r="B90" s="115"/>
      <x:c r="C90" s="188" t="str">
        <x:v>B2 / C2</x:v>
      </x:c>
      <x:c r="D90" s="191" t="n">
        <x:v>0.6041275005427887</x:v>
      </x:c>
      <x:c r="E90" s="191" t="n">
        <x:v>0.3743322269874625</x:v>
      </x:c>
      <x:c r="F90" s="191" t="n">
        <x:v>1.336234595521819</x:v>
      </x:c>
      <x:c r="G90" s="192" t="n">
        <x:v>1.9527289563324304</x:v>
      </x:c>
      <x:c r="H90" s="191" t="n">
        <x:v>3.896921452964889</x:v>
      </x:c>
      <x:c r="I90" s="191" t="n">
        <x:v>4.195354482973926</x:v>
      </x:c>
      <x:c r="J90" s="192" t="n">
        <x:v>3.3022555894193437</x:v>
      </x:c>
      <x:c r="K90" s="115"/>
      <x:c r="L90" s="196" t="str">
        <x:v>The new block uses a larger, different workload than the historical random-100 block. No matched new vLLM run was requested; cross-block changes are not controlled speedup measurements.</x:v>
      </x:c>
      <x:c r="M90" s="196" t="str">
        <x:v>The new block uses a larger, different workload than the historical random-100 block. No matched new vLLM run was requested; cross-block changes are not controlled speedup measurements.</x:v>
      </x:c>
      <x:c r="N90" s="196" t="str">
        <x:v>The new block uses a larger, different workload than the historical random-100 block. No matched new vLLM run was requested; cross-block changes are not controlled speedup measurements.</x:v>
      </x:c>
      <x:c r="O90" s="196" t="str">
        <x:v>The new block uses a larger, different workload than the historical random-100 block. No matched new vLLM run was requested; cross-block changes are not controlled speedup measurements.</x:v>
      </x:c>
      <x:c r="P90" s="196" t="str">
        <x:v>The new block uses a larger, different workload than the historical random-100 block. No matched new vLLM run was requested; cross-block changes are not controlled speedup measurements.</x:v>
      </x:c>
      <x:c r="Q90" s="196" t="str">
        <x:v>The new block uses a larger, different workload than the historical random-100 block. No matched new vLLM run was requested; cross-block changes are not controlled speedup measurements.</x:v>
      </x:c>
      <x:c r="R90" s="196" t="str">
        <x:v>The new block uses a larger, different workload than the historical random-100 block. No matched new vLLM run was requested; cross-block changes are not controlled speedup measurements.</x:v>
      </x:c>
      <x:c r="S90" s="196" t="str">
        <x:v>The new block uses a larger, different workload than the historical random-100 block. No matched new vLLM run was requested; cross-block changes are not controlled speedup measurements.</x:v>
      </x:c>
      <x:c r="T90" s="196" t="str">
        <x:v>The new block uses a larger, different workload than the historical random-100 block. No matched new vLLM run was requested; cross-block changes are not controlled speedup measurements.</x:v>
      </x:c>
      <x:c r="U90" s="196" t="str">
        <x:v>The new block uses a larger, different workload than the historical random-100 block. No matched new vLLM run was requested; cross-block changes are not controlled speedup measurements.</x:v>
      </x:c>
      <x:c r="V90" s="196" t="str">
        <x:v>The new block uses a larger, different workload than the historical random-100 block. No matched new vLLM run was requested; cross-block changes are not controlled speedup measurements.</x:v>
      </x:c>
      <x:c r="W90" s="196" t="str">
        <x:v>The new block uses a larger, different workload than the historical random-100 block. No matched new vLLM run was requested; cross-block changes are not controlled speedup measurements.</x:v>
      </x:c>
      <x:c r="X90" s="196" t="str">
        <x:v>The new block uses a larger, different workload than the historical random-100 block. No matched new vLLM run was requested; cross-block changes are not controlled speedup measurements.</x:v>
      </x:c>
      <x:c r="Y90" s="196" t="str">
        <x:v>The new block uses a larger, different workload than the historical random-100 block. No matched new vLLM run was requested; cross-block changes are not controlled speedup measurements.</x:v>
      </x:c>
      <x:c r="Z90" s="115"/>
    </x:row>
    <x:row r="91" ht="24.75" customHeight="1">
      <x:c r="A91" s="115"/>
      <x:c r="B91" s="115"/>
      <x:c r="C91" s="188" t="str">
        <x:v>B3 / C3</x:v>
      </x:c>
      <x:c r="D91" s="191" t="n">
        <x:v>0.7598435960153583</x:v>
      </x:c>
      <x:c r="E91" s="191" t="n">
        <x:v>0.4687598364544101</x:v>
      </x:c>
      <x:c r="F91" s="191" t="n">
        <x:v>1.713730762887281</x:v>
      </x:c>
      <x:c r="G91" s="192" t="n">
        <x:v>2.4720755729300423</x:v>
      </x:c>
      <x:c r="H91" s="191" t="n">
        <x:v>5.063775968842673</x:v>
      </x:c>
      <x:c r="I91" s="191" t="n">
        <x:v>5.5475653250468895</x:v>
      </x:c>
      <x:c r="J91" s="192" t="n">
        <x:v>3.930970276679353</x:v>
      </x:c>
      <x:c r="K91" s="115"/>
      <x:c r="L91" s="115"/>
      <x:c r="M91" s="115"/>
      <x:c r="N91" s="115"/>
      <x:c r="O91" s="115"/>
      <x:c r="P91" s="115"/>
      <x:c r="Q91" s="115"/>
      <x:c r="R91" s="115"/>
      <x:c r="S91" s="115"/>
      <x:c r="T91" s="115"/>
      <x:c r="U91" s="115"/>
      <x:c r="V91" s="115"/>
      <x:c r="W91" s="115"/>
      <x:c r="X91" s="115"/>
      <x:c r="Y91" s="115"/>
      <x:c r="Z91" s="115"/>
    </x:row>
    <x:row r="92" ht="24.75" customHeight="1">
      <x:c r="A92" s="115"/>
      <x:c r="B92" s="115"/>
      <x:c r="C92" s="188" t="str">
        <x:v>B4 / C4</x:v>
      </x:c>
      <x:c r="D92" s="191" t="n">
        <x:v>0.7755472345288145</x:v>
      </x:c>
      <x:c r="E92" s="191" t="n">
        <x:v>0.4701226999750361</x:v>
      </x:c>
      <x:c r="F92" s="191" t="n">
        <x:v>1.7669590109726416</x:v>
      </x:c>
      <x:c r="G92" s="192" t="n">
        <x:v>2.540035831264684</x:v>
      </x:c>
      <x:c r="H92" s="191" t="n">
        <x:v>5.108939005434513</x:v>
      </x:c>
      <x:c r="I92" s="191" t="n">
        <x:v>5.611563332029618</x:v>
      </x:c>
      <x:c r="J92" s="192" t="n">
        <x:v>5.128103389079862</x:v>
      </x:c>
      <x:c r="K92" s="115"/>
      <x:c r="L92" s="196" t="str">
        <x:v>Ordinary decoding. Packed MLP, complete-layer prefetch, RoPE lookup, linear vision patch projection, vision padding, setup GC freeze and no optional decode timing events. Unchanged input policy, native vocabulary map and KV4096.</x:v>
      </x:c>
      <x:c r="M92" s="196" t="str">
        <x:v>Ordinary decoding only. Latest CPU preparation and vision padding optimizations; unchanged model, input pixel policy, greedy selection, native vocabulary map, KV4096 and stopping rules.</x:v>
      </x:c>
      <x:c r="N92" s="196" t="str">
        <x:v>Ordinary decoding only. Latest CPU preparation and vision padding optimizations; unchanged model, input pixel policy, greedy selection, native vocabulary map, KV4096 and stopping rules.</x:v>
      </x:c>
      <x:c r="O92" s="196" t="str">
        <x:v>Ordinary decoding only. Latest CPU preparation and vision padding optimizations; unchanged model, input pixel policy, greedy selection, native vocabulary map, KV4096 and stopping rules.</x:v>
      </x:c>
      <x:c r="P92" s="196" t="str">
        <x:v>Ordinary decoding only. Latest CPU preparation and vision padding optimizations; unchanged model, input pixel policy, greedy selection, native vocabulary map, KV4096 and stopping rules.</x:v>
      </x:c>
      <x:c r="Q92" s="196" t="str">
        <x:v>Ordinary decoding only. Latest CPU preparation and vision padding optimizations; unchanged model, input pixel policy, greedy selection, native vocabulary map, KV4096 and stopping rules.</x:v>
      </x:c>
      <x:c r="R92" s="196" t="str">
        <x:v>Ordinary decoding only. Latest CPU preparation and vision padding optimizations; unchanged model, input pixel policy, greedy selection, native vocabulary map, KV4096 and stopping rules.</x:v>
      </x:c>
      <x:c r="S92" s="196" t="str">
        <x:v>Ordinary decoding only. Latest CPU preparation and vision padding optimizations; unchanged model, input pixel policy, greedy selection, native vocabulary map, KV4096 and stopping rules.</x:v>
      </x:c>
      <x:c r="T92" s="196" t="str">
        <x:v>Ordinary decoding only. Latest CPU preparation and vision padding optimizations; unchanged model, input pixel policy, greedy selection, native vocabulary map, KV4096 and stopping rules.</x:v>
      </x:c>
      <x:c r="U92" s="196" t="str">
        <x:v>Ordinary decoding only. Latest CPU preparation and vision padding optimizations; unchanged model, input pixel policy, greedy selection, native vocabulary map, KV4096 and stopping rules.</x:v>
      </x:c>
      <x:c r="V92" s="196" t="str">
        <x:v>Ordinary decoding only. Latest CPU preparation and vision padding optimizations; unchanged model, input pixel policy, greedy selection, native vocabulary map, KV4096 and stopping rules.</x:v>
      </x:c>
      <x:c r="W92" s="196" t="str">
        <x:v>Ordinary decoding only. Latest CPU preparation and vision padding optimizations; unchanged model, input pixel policy, greedy selection, native vocabulary map, KV4096 and stopping rules.</x:v>
      </x:c>
      <x:c r="X92" s="196" t="str">
        <x:v>Ordinary decoding only. Latest CPU preparation and vision padding optimizations; unchanged model, input pixel policy, greedy selection, native vocabulary map, KV4096 and stopping rules.</x:v>
      </x:c>
      <x:c r="Y92" s="196" t="str">
        <x:v>Ordinary decoding only. Latest CPU preparation and vision padding optimizations; unchanged model, input pixel policy, greedy selection, native vocabulary map, KV4096 and stopping rules.</x:v>
      </x:c>
      <x:c r="Z92" s="115"/>
    </x:row>
    <x:row r="93" ht="24.75" customHeight="1">
      <x:c r="A93" s="115"/>
      <x:c r="B93" s="115"/>
      <x:c r="C93" s="188" t="str">
        <x:v>B5 / C5</x:v>
      </x:c>
      <x:c r="D93" s="191" t="n">
        <x:v>0.8845392211870058</x:v>
      </x:c>
      <x:c r="E93" s="191" t="n">
        <x:v>0.5350188484298997</x:v>
      </x:c>
      <x:c r="F93" s="191" t="n">
        <x:v>2.0663810262689366</x:v>
      </x:c>
      <x:c r="G93" s="192" t="n">
        <x:v>2.8849450394802245</x:v>
      </x:c>
      <x:c r="H93" s="191" t="n">
        <x:v>5.887338578747585</x:v>
      </x:c>
      <x:c r="I93" s="191" t="n">
        <x:v>6.7386838279198855</x:v>
      </x:c>
      <x:c r="J93" s="192" t="n">
        <x:v>5.605123315729733</x:v>
      </x:c>
      <x:c r="K93" s="115"/>
      <x:c r="L93" s="196" t="str">
        <x:v>Ordinary decoding only. Latest CPU preparation and vision padding optimizations; unchanged model, input pixel policy, greedy selection, native vocabulary map, KV4096 and stopping rules.</x:v>
      </x:c>
      <x:c r="M93" s="196" t="str">
        <x:v>Ordinary decoding only. Latest CPU preparation and vision padding optimizations; unchanged model, input pixel policy, greedy selection, native vocabulary map, KV4096 and stopping rules.</x:v>
      </x:c>
      <x:c r="N93" s="196" t="str">
        <x:v>Ordinary decoding only. Latest CPU preparation and vision padding optimizations; unchanged model, input pixel policy, greedy selection, native vocabulary map, KV4096 and stopping rules.</x:v>
      </x:c>
      <x:c r="O93" s="196" t="str">
        <x:v>Ordinary decoding only. Latest CPU preparation and vision padding optimizations; unchanged model, input pixel policy, greedy selection, native vocabulary map, KV4096 and stopping rules.</x:v>
      </x:c>
      <x:c r="P93" s="196" t="str">
        <x:v>Ordinary decoding only. Latest CPU preparation and vision padding optimizations; unchanged model, input pixel policy, greedy selection, native vocabulary map, KV4096 and stopping rules.</x:v>
      </x:c>
      <x:c r="Q93" s="196" t="str">
        <x:v>Ordinary decoding only. Latest CPU preparation and vision padding optimizations; unchanged model, input pixel policy, greedy selection, native vocabulary map, KV4096 and stopping rules.</x:v>
      </x:c>
      <x:c r="R93" s="196" t="str">
        <x:v>Ordinary decoding only. Latest CPU preparation and vision padding optimizations; unchanged model, input pixel policy, greedy selection, native vocabulary map, KV4096 and stopping rules.</x:v>
      </x:c>
      <x:c r="S93" s="196" t="str">
        <x:v>Ordinary decoding only. Latest CPU preparation and vision padding optimizations; unchanged model, input pixel policy, greedy selection, native vocabulary map, KV4096 and stopping rules.</x:v>
      </x:c>
      <x:c r="T93" s="196" t="str">
        <x:v>Ordinary decoding only. Latest CPU preparation and vision padding optimizations; unchanged model, input pixel policy, greedy selection, native vocabulary map, KV4096 and stopping rules.</x:v>
      </x:c>
      <x:c r="U93" s="196" t="str">
        <x:v>Ordinary decoding only. Latest CPU preparation and vision padding optimizations; unchanged model, input pixel policy, greedy selection, native vocabulary map, KV4096 and stopping rules.</x:v>
      </x:c>
      <x:c r="V93" s="196" t="str">
        <x:v>Ordinary decoding only. Latest CPU preparation and vision padding optimizations; unchanged model, input pixel policy, greedy selection, native vocabulary map, KV4096 and stopping rules.</x:v>
      </x:c>
      <x:c r="W93" s="196" t="str">
        <x:v>Ordinary decoding only. Latest CPU preparation and vision padding optimizations; unchanged model, input pixel policy, greedy selection, native vocabulary map, KV4096 and stopping rules.</x:v>
      </x:c>
      <x:c r="X93" s="196" t="str">
        <x:v>Ordinary decoding only. Latest CPU preparation and vision padding optimizations; unchanged model, input pixel policy, greedy selection, native vocabulary map, KV4096 and stopping rules.</x:v>
      </x:c>
      <x:c r="Y93" s="196" t="str">
        <x:v>Ordinary decoding only. Latest CPU preparation and vision padding optimizations; unchanged model, input pixel policy, greedy selection, native vocabulary map, KV4096 and stopping rules.</x:v>
      </x:c>
      <x:c r="Z93" s="115"/>
    </x:row>
    <x:row r="94" ht="24.75" customHeight="1">
      <x:c r="A94" s="115"/>
      <x:c r="B94" s="115"/>
      <x:c r="C94" s="188" t="str">
        <x:v>B6 / C6</x:v>
      </x:c>
      <x:c r="D94" s="191" t="n">
        <x:v>0.9974676761954324</x:v>
      </x:c>
      <x:c r="E94" s="191" t="n">
        <x:v>0.5958280664635822</x:v>
      </x:c>
      <x:c r="F94" s="191" t="n">
        <x:v>2.2713731546071365</x:v>
      </x:c>
      <x:c r="G94" s="192" t="n">
        <x:v>3.2565520662174055</x:v>
      </x:c>
      <x:c r="H94" s="191" t="n">
        <x:v>6.556477977633474</x:v>
      </x:c>
      <x:c r="I94" s="191" t="n">
        <x:v>7.884030124987476</x:v>
      </x:c>
      <x:c r="J94" s="192" t="n">
        <x:v>5.942513646912682</x:v>
      </x:c>
      <x:c r="K94" s="115"/>
      <x:c r="L94" s="196" t="str">
        <x:v>Ordinary decoding only. Latest CPU preparation and vision padding optimizations; unchanged model, input pixel policy, greedy selection, native vocabulary map, KV4096 and stopping rules.</x:v>
      </x:c>
      <x:c r="M94" s="196" t="str">
        <x:v>Ordinary decoding only. Latest CPU preparation and vision padding optimizations; unchanged model, input pixel policy, greedy selection, native vocabulary map, KV4096 and stopping rules.</x:v>
      </x:c>
      <x:c r="N94" s="196" t="str">
        <x:v>Ordinary decoding only. Latest CPU preparation and vision padding optimizations; unchanged model, input pixel policy, greedy selection, native vocabulary map, KV4096 and stopping rules.</x:v>
      </x:c>
      <x:c r="O94" s="196" t="str">
        <x:v>Ordinary decoding only. Latest CPU preparation and vision padding optimizations; unchanged model, input pixel policy, greedy selection, native vocabulary map, KV4096 and stopping rules.</x:v>
      </x:c>
      <x:c r="P94" s="196" t="str">
        <x:v>Ordinary decoding only. Latest CPU preparation and vision padding optimizations; unchanged model, input pixel policy, greedy selection, native vocabulary map, KV4096 and stopping rules.</x:v>
      </x:c>
      <x:c r="Q94" s="196" t="str">
        <x:v>Ordinary decoding only. Latest CPU preparation and vision padding optimizations; unchanged model, input pixel policy, greedy selection, native vocabulary map, KV4096 and stopping rules.</x:v>
      </x:c>
      <x:c r="R94" s="196" t="str">
        <x:v>Ordinary decoding only. Latest CPU preparation and vision padding optimizations; unchanged model, input pixel policy, greedy selection, native vocabulary map, KV4096 and stopping rules.</x:v>
      </x:c>
      <x:c r="S94" s="196" t="str">
        <x:v>Ordinary decoding only. Latest CPU preparation and vision padding optimizations; unchanged model, input pixel policy, greedy selection, native vocabulary map, KV4096 and stopping rules.</x:v>
      </x:c>
      <x:c r="T94" s="196" t="str">
        <x:v>Ordinary decoding only. Latest CPU preparation and vision padding optimizations; unchanged model, input pixel policy, greedy selection, native vocabulary map, KV4096 and stopping rules.</x:v>
      </x:c>
      <x:c r="U94" s="196" t="str">
        <x:v>Ordinary decoding only. Latest CPU preparation and vision padding optimizations; unchanged model, input pixel policy, greedy selection, native vocabulary map, KV4096 and stopping rules.</x:v>
      </x:c>
      <x:c r="V94" s="196" t="str">
        <x:v>Ordinary decoding only. Latest CPU preparation and vision padding optimizations; unchanged model, input pixel policy, greedy selection, native vocabulary map, KV4096 and stopping rules.</x:v>
      </x:c>
      <x:c r="W94" s="196" t="str">
        <x:v>Ordinary decoding only. Latest CPU preparation and vision padding optimizations; unchanged model, input pixel policy, greedy selection, native vocabulary map, KV4096 and stopping rules.</x:v>
      </x:c>
      <x:c r="X94" s="196" t="str">
        <x:v>Ordinary decoding only. Latest CPU preparation and vision padding optimizations; unchanged model, input pixel policy, greedy selection, native vocabulary map, KV4096 and stopping rules.</x:v>
      </x:c>
      <x:c r="Y94" s="196" t="str">
        <x:v>Ordinary decoding only. Latest CPU preparation and vision padding optimizations; unchanged model, input pixel policy, greedy selection, native vocabulary map, KV4096 and stopping rules.</x:v>
      </x:c>
      <x:c r="Z94" s="115"/>
    </x:row>
    <x:row r="95" ht="24.75" customHeight="1">
      <x:c r="A95" s="115"/>
      <x:c r="B95" s="115"/>
      <x:c r="C95" s="188" t="str">
        <x:v>B7 / C7</x:v>
      </x:c>
      <x:c r="D95" s="191" t="n">
        <x:v>1.0593258181991987</x:v>
      </x:c>
      <x:c r="E95" s="191" t="n">
        <x:v>0.617943222518079</x:v>
      </x:c>
      <x:c r="F95" s="191" t="n">
        <x:v>2.407472352520563</x:v>
      </x:c>
      <x:c r="G95" s="192" t="n">
        <x:v>3.471485421829855</x:v>
      </x:c>
      <x:c r="H95" s="191" t="n">
        <x:v>7.015740477233191</x:v>
      </x:c>
      <x:c r="I95" s="191" t="n">
        <x:v>8.021164715057239</x:v>
      </x:c>
      <x:c r="J95" s="192" t="n">
        <x:v>6.508119820258158</x:v>
      </x:c>
      <x:c r="K95" s="115"/>
      <x:c r="L95" s="115"/>
      <x:c r="M95" s="115"/>
      <x:c r="N95" s="115"/>
      <x:c r="O95" s="115"/>
      <x:c r="P95" s="115"/>
      <x:c r="Q95" s="115"/>
      <x:c r="R95" s="115"/>
      <x:c r="S95" s="115"/>
      <x:c r="T95" s="115"/>
      <x:c r="U95" s="115"/>
      <x:c r="V95" s="115"/>
      <x:c r="W95" s="115"/>
      <x:c r="X95" s="115"/>
      <x:c r="Y95" s="115"/>
      <x:c r="Z95" s="115"/>
    </x:row>
    <x:row r="96" ht="24.75" customHeight="1">
      <x:c r="A96" s="115"/>
      <x:c r="B96" s="115"/>
      <x:c r="C96" s="188" t="str">
        <x:v>B8 / C7</x:v>
      </x:c>
      <x:c r="D96" s="191" t="n">
        <x:v>1.0653884073762456</x:v>
      </x:c>
      <x:c r="E96" s="191" t="n">
        <x:v>0.6112742489785887</x:v>
      </x:c>
      <x:c r="F96" s="191" t="n">
        <x:v>2.393488236877602</x:v>
      </x:c>
      <x:c r="G96" s="192" t="n">
        <x:v>3.582552019687135</x:v>
      </x:c>
      <x:c r="H96" s="191" t="n">
        <x:v>7.117921280496519</x:v>
      </x:c>
      <x:c r="I96" s="191" t="n">
        <x:v>7.991954467957839</x:v>
      </x:c>
      <x:c r="J96" s="192" t="n">
        <x:v>6.468149539254828</x:v>
      </x:c>
      <x:c r="K96" s="115"/>
      <x:c r="L96" s="196" t="str">
        <x:v>Each selected run: 1,000 responses, 988 EOS completions, 12 unchanged KV4096-cap outputs, no request errors. All 1,000 are included in latency and QPS. One physical 910B2 (NPU6), with exclusive ownership verified during measurement.</x:v>
      </x:c>
      <x:c r="M96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N96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O96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P96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Q96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R96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S96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T96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U96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V96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W96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X96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Y96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Z96" s="115"/>
    </x:row>
    <x:row r="97" ht="24.75" customHeight="1">
      <x:c r="A97" s="115"/>
      <x:c r="B97" s="115"/>
      <x:c r="C97" s="188" t="str">
        <x:v>B8 / C8</x:v>
      </x:c>
      <x:c r="D97" s="191" t="n">
        <x:v>1.1240035916685593</x:v>
      </x:c>
      <x:c r="E97" s="191" t="n">
        <x:v>0.6648684749961831</x:v>
      </x:c>
      <x:c r="F97" s="191" t="n">
        <x:v>2.5825716336607005</x:v>
      </x:c>
      <x:c r="G97" s="192" t="n">
        <x:v>3.7681284833292006</x:v>
      </x:c>
      <x:c r="H97" s="191" t="n">
        <x:v>7.67259384816396</x:v>
      </x:c>
      <x:c r="I97" s="191" t="n">
        <x:v>8.543899290030822</x:v>
      </x:c>
      <x:c r="J97" s="192" t="n">
        <x:v>6.985774628299913</x:v>
      </x:c>
      <x:c r="K97" s="115"/>
      <x:c r="L97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M97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N97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O97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P97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Q97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R97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S97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T97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U97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V97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W97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X97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Y97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Z97" s="115"/>
    </x:row>
    <x:row r="98" ht="24.75" customHeight="1">
      <x:c r="A98" s="115"/>
      <x:c r="B98" s="115"/>
      <x:c r="C98" s="188" t="str">
        <x:v>B16 / C16</x:v>
      </x:c>
      <x:c r="D98" s="191" t="n">
        <x:v>1.8402280153116444</x:v>
      </x:c>
      <x:c r="E98" s="191" t="n">
        <x:v>1.053500725014601</x:v>
      </x:c>
      <x:c r="F98" s="191" t="n">
        <x:v>4.320971092197579</x:v>
      </x:c>
      <x:c r="G98" s="192" t="n">
        <x:v>6.105224792403168</x:v>
      </x:c>
      <x:c r="H98" s="191" t="n">
        <x:v>13.219456814958248</x:v>
      </x:c>
      <x:c r="I98" s="191" t="n">
        <x:v>14.079549701069482</x:v>
      </x:c>
      <x:c r="J98" s="192" t="n">
        <x:v>8.364789333155967</x:v>
      </x:c>
      <x:c r="K98" s="115"/>
      <x:c r="L98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M98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N98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O98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P98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Q98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R98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S98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T98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U98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V98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W98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X98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Y98" s="196" t="str">
        <x:v>KV4096 limit stops, retained in every latency denominator: B1: 12; B2: 12; B4C3: 12; B4C4: 12; B8: 12; B16: 12. QPS counts returned requests, including these capped outputs; not proof of complete-output goal validation.</x:v>
      </x:c>
      <x:c r="Z98" s="115"/>
    </x:row>
    <x:row r="99" ht="23.25" customHeight="1">
      <x:c r="A99" s="115"/>
      <x:c r="B99" s="115"/>
      <x:c r="C99" s="160" t="str">
        <x:v>Seed 3: all 665 tables once, then 335 distinct tables from the same corpus. Identical order in every lane. B = static decode batch; C = maximum requests in flight.</x:v>
      </x:c>
      <x:c r="D99" s="160" t="str">
        <x:v>Seed 3: all 665 tables once, then 335 distinct tables from the same corpus. Identical order in every lane. B = static decode batch; C = maximum requests in flight.</x:v>
      </x:c>
      <x:c r="E99" s="160" t="str">
        <x:v>Seed 3: all 665 tables once, then 335 distinct tables from the same corpus. Identical order in every lane. B = static decode batch; C = maximum requests in flight.</x:v>
      </x:c>
      <x:c r="F99" s="160" t="str">
        <x:v>Seed 3: all 665 tables once, then 335 distinct tables from the same corpus. Identical order in every lane. B = static decode batch; C = maximum requests in flight.</x:v>
      </x:c>
      <x:c r="G99" s="160" t="str">
        <x:v>Seed 3: all 665 tables once, then 335 distinct tables from the same corpus. Identical order in every lane. B = static decode batch; C = maximum requests in flight.</x:v>
      </x:c>
      <x:c r="H99" s="160" t="str">
        <x:v>Seed 3: all 665 tables once, then 335 distinct tables from the same corpus. Identical order in every lane. B = static decode batch; C = maximum requests in flight.</x:v>
      </x:c>
      <x:c r="I99" s="160" t="str">
        <x:v>Seed 3: all 665 tables once, then 335 distinct tables from the same corpus. Identical order in every lane. B = static decode batch; C = maximum requests in flight.</x:v>
      </x:c>
      <x:c r="J99" s="160" t="str">
        <x:v>Seed 3: all 665 tables once, then 335 distinct tables from the same corpus. Identical order in every lane. B = static decode batch; C = maximum requests in flight.</x:v>
      </x:c>
      <x:c r="K99" s="115"/>
      <x:c r="L99" s="115"/>
      <x:c r="M99" s="115"/>
      <x:c r="N99" s="115"/>
      <x:c r="O99" s="115"/>
      <x:c r="P99" s="115"/>
      <x:c r="Q99" s="115"/>
      <x:c r="R99" s="115"/>
      <x:c r="S99" s="115"/>
      <x:c r="T99" s="115"/>
      <x:c r="U99" s="115"/>
      <x:c r="V99" s="115"/>
      <x:c r="W99" s="115"/>
      <x:c r="X99" s="115"/>
      <x:c r="Y99" s="115"/>
      <x:c r="Z99" s="115"/>
    </x:row>
    <x:row r="100" ht="23.25" customHeight="1">
      <x:c r="A100"/>
      <x:c r="B100"/>
      <x:c r="C100" s="160" t="str">
        <x:v>Seed 3: all 665 tables once, then 335 distinct tables from the same corpus. Identical order in every lane. B = static decode batch; C = maximum requests in flight.</x:v>
      </x:c>
      <x:c r="D100" s="160" t="str">
        <x:v>Seed 3: all 665 tables once, then 335 distinct tables from the same corpus. Identical order in every lane. B = static decode batch; C = maximum requests in flight.</x:v>
      </x:c>
      <x:c r="E100" s="160" t="str">
        <x:v>Seed 3: all 665 tables once, then 335 distinct tables from the same corpus. Identical order in every lane. B = static decode batch; C = maximum requests in flight.</x:v>
      </x:c>
      <x:c r="F100" s="160" t="str">
        <x:v>Seed 3: all 665 tables once, then 335 distinct tables from the same corpus. Identical order in every lane. B = static decode batch; C = maximum requests in flight.</x:v>
      </x:c>
      <x:c r="G100" s="160" t="str">
        <x:v>Seed 3: all 665 tables once, then 335 distinct tables from the same corpus. Identical order in every lane. B = static decode batch; C = maximum requests in flight.</x:v>
      </x:c>
      <x:c r="H100" s="160" t="str">
        <x:v>Seed 3: all 665 tables once, then 335 distinct tables from the same corpus. Identical order in every lane. B = static decode batch; C = maximum requests in flight.</x:v>
      </x:c>
      <x:c r="I100" s="160" t="str">
        <x:v>Seed 3: all 665 tables once, then 335 distinct tables from the same corpus. Identical order in every lane. B = static decode batch; C = maximum requests in flight.</x:v>
      </x:c>
      <x:c r="J100" s="160" t="str">
        <x:v>Seed 3: all 665 tables once, then 335 distinct tables from the same corpus. Identical order in every lane. B = static decode batch; C = maximum requests in flight.</x:v>
      </x:c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</x:row>
    <x:row r="102" ht="23.25" customHeight="1">
      <x:c r="A102"/>
      <x:c r="B102"/>
      <x:c r="C102" s="160" t="str">
        <x:v>One new 1,000-request run per tested configuration. B2 shows the higher-P95 run of all three validations (the new reconfirmation). B5 retains the higher-P95 run of its two earlier validations. All metrics in each row come from one run.</x:v>
      </x:c>
      <x:c r="D102" s="160" t="str">
        <x:v>One new 1,000-request run per tested configuration. B2 shows the higher-P95 run of all three validations (the new reconfirmation). B5 retains the higher-P95 run of its two earlier validations. All metrics in each row come from one run.</x:v>
      </x:c>
      <x:c r="E102" s="160" t="str">
        <x:v>One new 1,000-request run per tested configuration. B2 shows the higher-P95 run of all three validations (the new reconfirmation). B5 retains the higher-P95 run of its two earlier validations. All metrics in each row come from one run.</x:v>
      </x:c>
      <x:c r="F102" s="160" t="str">
        <x:v>One new 1,000-request run per tested configuration. B2 shows the higher-P95 run of all three validations (the new reconfirmation). B5 retains the higher-P95 run of its two earlier validations. All metrics in each row come from one run.</x:v>
      </x:c>
      <x:c r="G102" s="160" t="str">
        <x:v>One new 1,000-request run per tested configuration. B2 shows the higher-P95 run of all three validations (the new reconfirmation). B5 retains the higher-P95 run of its two earlier validations. All metrics in each row come from one run.</x:v>
      </x:c>
      <x:c r="H102" s="160" t="str">
        <x:v>One new 1,000-request run per tested configuration. B2 shows the higher-P95 run of all three validations (the new reconfirmation). B5 retains the higher-P95 run of its two earlier validations. All metrics in each row come from one run.</x:v>
      </x:c>
      <x:c r="I102" s="160" t="str">
        <x:v>One new 1,000-request run per tested configuration. B2 shows the higher-P95 run of all three validations (the new reconfirmation). B5 retains the higher-P95 run of its two earlier validations. All metrics in each row come from one run.</x:v>
      </x:c>
      <x:c r="J102" s="160" t="str">
        <x:v>One new 1,000-request run per tested configuration. B2 shows the higher-P95 run of all three validations (the new reconfirmation). B5 retains the higher-P95 run of its two earlier validations. All metrics in each row come from one run.</x:v>
      </x:c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</x:row>
    <x:row r="103" ht="23.25" customHeight="1">
      <x:c r="A103"/>
      <x:c r="B103"/>
      <x:c r="C103" s="160" t="str">
        <x:v>One new 1,000-request run per tested configuration. B2 shows the higher-P95 run of all three validations (the new reconfirmation). B5 retains the higher-P95 run of its two earlier validations. All metrics in each row come from one run.</x:v>
      </x:c>
      <x:c r="D103" s="160" t="str">
        <x:v>One new 1,000-request run per tested configuration. B2 shows the higher-P95 run of all three validations (the new reconfirmation). B5 retains the higher-P95 run of its two earlier validations. All metrics in each row come from one run.</x:v>
      </x:c>
      <x:c r="E103" s="160" t="str">
        <x:v>One new 1,000-request run per tested configuration. B2 shows the higher-P95 run of all three validations (the new reconfirmation). B5 retains the higher-P95 run of its two earlier validations. All metrics in each row come from one run.</x:v>
      </x:c>
      <x:c r="F103" s="160" t="str">
        <x:v>One new 1,000-request run per tested configuration. B2 shows the higher-P95 run of all three validations (the new reconfirmation). B5 retains the higher-P95 run of its two earlier validations. All metrics in each row come from one run.</x:v>
      </x:c>
      <x:c r="G103" s="160" t="str">
        <x:v>One new 1,000-request run per tested configuration. B2 shows the higher-P95 run of all three validations (the new reconfirmation). B5 retains the higher-P95 run of its two earlier validations. All metrics in each row come from one run.</x:v>
      </x:c>
      <x:c r="H103" s="160" t="str">
        <x:v>One new 1,000-request run per tested configuration. B2 shows the higher-P95 run of all three validations (the new reconfirmation). B5 retains the higher-P95 run of its two earlier validations. All metrics in each row come from one run.</x:v>
      </x:c>
      <x:c r="I103" s="160" t="str">
        <x:v>One new 1,000-request run per tested configuration. B2 shows the higher-P95 run of all three validations (the new reconfirmation). B5 retains the higher-P95 run of its two earlier validations. All metrics in each row come from one run.</x:v>
      </x:c>
      <x:c r="J103" s="160" t="str">
        <x:v>One new 1,000-request run per tested configuration. B2 shows the higher-P95 run of all three validations (the new reconfirmation). B5 retains the higher-P95 run of its two earlier validations. All metrics in each row come from one run.</x:v>
      </x:c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</x:row>
  </x:sheetData>
  <x:mergeCells>
    <x:mergeCell ref="C61:J61"/>
    <x:mergeCell ref="L61:O61"/>
    <x:mergeCell ref="R61:Y61"/>
    <x:mergeCell ref="C62:E62"/>
    <x:mergeCell ref="R62:T62"/>
    <x:mergeCell ref="L62:O62"/>
    <x:mergeCell ref="L70:O71"/>
    <x:mergeCell ref="C73:E73"/>
    <x:mergeCell ref="R73:T73"/>
    <x:mergeCell ref="L73:O73"/>
    <x:mergeCell ref="L81:O82"/>
    <x:mergeCell ref="C70:J70"/>
    <x:mergeCell ref="C81:J81"/>
    <x:mergeCell ref="R70:Y70"/>
    <x:mergeCell ref="R81:Y81"/>
    <x:mergeCell ref="C83:Y83"/>
    <x:mergeCell ref="C86:J86"/>
    <x:mergeCell ref="C87:E87"/>
    <x:mergeCell ref="L88:Y90"/>
    <x:mergeCell ref="L92:Y94"/>
    <x:mergeCell ref="L96:Y98"/>
    <x:mergeCell ref="C99:J100"/>
    <x:mergeCell ref="C102:J103"/>
    <x:mergeCell ref="C2:J2"/>
    <x:mergeCell ref="L2:O2"/>
    <x:mergeCell ref="R2:U2"/>
    <x:mergeCell ref="C8:U8"/>
    <x:mergeCell ref="C9:U9"/>
    <x:mergeCell ref="C12:J12"/>
    <x:mergeCell ref="L12:O12"/>
    <x:mergeCell ref="R12:U12"/>
    <x:mergeCell ref="C45:U45"/>
    <x:mergeCell ref="C48:J48"/>
    <x:mergeCell ref="L48:O48"/>
    <x:mergeCell ref="R48:U48"/>
    <x:mergeCell ref="C54:U54"/>
    <x:mergeCell ref="W33:Y33"/>
    <x:mergeCell ref="W50:Y53"/>
  </x:mergeCells>
  <x:conditionalFormatting sqref="M6:O6">
    <x:cfRule type="cellIs" dxfId="0" priority="1" operator="greaterThan">
      <x:formula>1</x:formula>
    </x:cfRule>
    <x:cfRule type="cellIs" dxfId="1" priority="2" operator="lessThan">
      <x:formula>1</x:formula>
    </x:cfRule>
  </x:conditionalFormatting>
  <x:conditionalFormatting sqref="M7:O7">
    <x:cfRule type="cellIs" dxfId="2" priority="3" operator="greaterThan">
      <x:formula>1</x:formula>
    </x:cfRule>
    <x:cfRule type="cellIs" dxfId="3" priority="4" operator="lessThan">
      <x:formula>1</x:formula>
    </x:cfRule>
  </x:conditionalFormatting>
  <x:conditionalFormatting sqref="M8:O8">
    <x:cfRule type="cellIs" dxfId="4" priority="5" operator="greaterThan">
      <x:formula>1</x:formula>
    </x:cfRule>
    <x:cfRule type="cellIs" dxfId="5" priority="6" operator="lessThan">
      <x:formula>1</x:formula>
    </x:cfRule>
  </x:conditionalFormatting>
  <x:conditionalFormatting sqref="M9:O9">
    <x:cfRule type="cellIs" dxfId="6" priority="7" operator="greaterThan">
      <x:formula>1</x:formula>
    </x:cfRule>
    <x:cfRule type="cellIs" dxfId="7" priority="8" operator="lessThan">
      <x:formula>1</x:formula>
    </x:cfRule>
  </x:conditionalFormatting>
  <x:conditionalFormatting sqref="M10:O10">
    <x:cfRule type="cellIs" dxfId="8" priority="9" operator="greaterThan">
      <x:formula>1</x:formula>
    </x:cfRule>
    <x:cfRule type="cellIs" dxfId="9" priority="10" operator="lessThan">
      <x:formula>1</x:formula>
    </x:cfRule>
  </x:conditionalFormatting>
  <x:conditionalFormatting sqref="M17:O17">
    <x:cfRule type="cellIs" dxfId="10" priority="11" operator="greaterThan">
      <x:formula>1</x:formula>
    </x:cfRule>
    <x:cfRule type="cellIs" dxfId="11" priority="12" operator="lessThan">
      <x:formula>1</x:formula>
    </x:cfRule>
  </x:conditionalFormatting>
  <x:conditionalFormatting sqref="M18:O18">
    <x:cfRule type="cellIs" dxfId="12" priority="13" operator="greaterThan">
      <x:formula>1</x:formula>
    </x:cfRule>
    <x:cfRule type="cellIs" dxfId="13" priority="14" operator="lessThan">
      <x:formula>1</x:formula>
    </x:cfRule>
  </x:conditionalFormatting>
  <x:conditionalFormatting sqref="M19:O19">
    <x:cfRule type="cellIs" dxfId="14" priority="15" operator="greaterThan">
      <x:formula>1</x:formula>
    </x:cfRule>
    <x:cfRule type="cellIs" dxfId="15" priority="16" operator="lessThan">
      <x:formula>1</x:formula>
    </x:cfRule>
  </x:conditionalFormatting>
  <x:conditionalFormatting sqref="M20:O20">
    <x:cfRule type="cellIs" dxfId="16" priority="17" operator="greaterThan">
      <x:formula>1</x:formula>
    </x:cfRule>
    <x:cfRule type="cellIs" dxfId="17" priority="18" operator="lessThan">
      <x:formula>1</x:formula>
    </x:cfRule>
  </x:conditionalFormatting>
  <x:conditionalFormatting sqref="M21:O21">
    <x:cfRule type="cellIs" dxfId="18" priority="19" operator="greaterThan">
      <x:formula>1</x:formula>
    </x:cfRule>
    <x:cfRule type="cellIs" dxfId="19" priority="20" operator="lessThan">
      <x:formula>1</x:formula>
    </x:cfRule>
  </x:conditionalFormatting>
  <x:pageMargins left="0.7" right="0.7" top="0.75" bottom="0.75" header="0.3" footer="0.3"/>
  <x:drawing xmlns:r="http://schemas.openxmlformats.org/officeDocument/2006/relationships" r:id="R227a1b8e7291478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2.220000267028809" hidden="0" customWidth="1"/>
    <x:col min="3" max="3" width="12.220000267028809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2.220000267028809" hidden="0" customWidth="1"/>
    <x:col min="9" max="9" width="12.220000267028809" hidden="0" customWidth="1"/>
    <x:col min="10" max="10" width="12.220000267028809" hidden="0" customWidth="1"/>
    <x:col min="11" max="11" width="12.220000267028809" hidden="0" customWidth="1"/>
  </x:cols>
  <x:sheetData>
    <x:row r="1" ht="22.5" customHeight="1">
      <x:c r="A1" s="9" t="str">
        <x:v>Cohort</x:v>
      </x:c>
      <x:c r="B1" s="9" t="str">
        <x:v>Concurrency</x:v>
      </x:c>
      <x:c r="C1" s="9" t="str">
        <x:v>Requests</x:v>
      </x:c>
      <x:c r="D1" s="9" t="str">
        <x:v>Elapsed(s)</x:v>
      </x:c>
      <x:c r="E1" s="9" t="str">
        <x:v>Mean(s)</x:v>
      </x:c>
      <x:c r="F1" s="9" t="str">
        <x:v>P50(s)</x:v>
      </x:c>
      <x:c r="G1" s="9" t="str">
        <x:v>P90(s)</x:v>
      </x:c>
      <x:c r="H1" s="9" t="str">
        <x:v>P95(s)</x:v>
      </x:c>
      <x:c r="I1" s="9" t="str">
        <x:v>P99(s)</x:v>
      </x:c>
      <x:c r="J1" s="9" t="str">
        <x:v>Max(s)</x:v>
      </x:c>
      <x:c r="K1" s="9" t="str">
        <x:v>QPS</x:v>
      </x:c>
    </x:row>
    <x:row r="2" ht="22.5" customHeight="1">
      <x:c r="A2" s="23" t="str">
        <x:v>Hardest 50</x:v>
      </x:c>
      <x:c r="B2" s="23" t="n">
        <x:v>1</x:v>
      </x:c>
      <x:c r="C2" s="23" t="n">
        <x:v>50</x:v>
      </x:c>
      <x:c r="D2" s="24" t="n">
        <x:v>806.6188326210249</x:v>
      </x:c>
      <x:c r="E2" s="24" t="n">
        <x:v>16.131122591327877</x:v>
      </x:c>
      <x:c r="F2" s="24" t="n">
        <x:v>14.127822387497872</x:v>
      </x:c>
      <x:c r="G2" s="24" t="n">
        <x:v>24.657024169131184</x:v>
      </x:c>
      <x:c r="H2" s="24" t="n">
        <x:v>25.288723748747724</x:v>
      </x:c>
      <x:c r="I2" s="24" t="n">
        <x:v>25.65289815873606</x:v>
      </x:c>
      <x:c r="J2" s="24" t="n">
        <x:v>25.75589959998615</x:v>
      </x:c>
      <x:c r="K2" s="24" t="n">
        <x:f>C2/D2</x:f>
        <x:v>0.06198714681323537</x:v>
      </x:c>
    </x:row>
    <x:row r="3" ht="22.5" customHeight="1">
      <x:c r="A3" s="23" t="str">
        <x:v>Hardest 50</x:v>
      </x:c>
      <x:c r="B3" s="23" t="n">
        <x:v>2</x:v>
      </x:c>
      <x:c r="C3" s="23" t="n">
        <x:v>50</x:v>
      </x:c>
      <x:c r="D3" s="24" t="n">
        <x:v>436.04644482396543</x:v>
      </x:c>
      <x:c r="E3" s="24" t="n">
        <x:v>17.192326189537997</x:v>
      </x:c>
      <x:c r="F3" s="24" t="n">
        <x:v>15.196844285936095</x:v>
      </x:c>
      <x:c r="G3" s="24" t="n">
        <x:v>26.256257998384534</x:v>
      </x:c>
      <x:c r="H3" s="24" t="n">
        <x:v>27.18154602277209</x:v>
      </x:c>
      <x:c r="I3" s="24" t="n">
        <x:v>28.313608236699366</x:v>
      </x:c>
      <x:c r="J3" s="24" t="n">
        <x:v>28.396468276972882</x:v>
      </x:c>
      <x:c r="K3" s="24" t="n">
        <x:f>C3/D3</x:f>
        <x:v>0.11466668423402764</x:v>
      </x:c>
    </x:row>
    <x:row r="4" ht="22.5" customHeight="1">
      <x:c r="A4" s="23" t="str">
        <x:v>Hardest 50</x:v>
      </x:c>
      <x:c r="B4" s="23" t="n">
        <x:v>4</x:v>
      </x:c>
      <x:c r="C4" s="23" t="n">
        <x:v>50</x:v>
      </x:c>
      <x:c r="D4" s="24" t="n">
        <x:v>254.33349770493805</x:v>
      </x:c>
      <x:c r="E4" s="24" t="n">
        <x:v>19.011085993479938</x:v>
      </x:c>
      <x:c r="F4" s="24" t="n">
        <x:v>15.921061699511483</x:v>
      </x:c>
      <x:c r="G4" s="24" t="n">
        <x:v>29.32993160429178</x:v>
      </x:c>
      <x:c r="H4" s="24" t="n">
        <x:v>29.4303140169417</x:v>
      </x:c>
      <x:c r="I4" s="24" t="n">
        <x:v>30.107988716386025</x:v>
      </x:c>
      <x:c r="J4" s="24" t="n">
        <x:v>30.203440147917718</x:v>
      </x:c>
      <x:c r="K4" s="24" t="n">
        <x:f>C4/D4</x:f>
        <x:v>0.1965922713727898</x:v>
      </x:c>
    </x:row>
    <x:row r="5" ht="22.5" customHeight="1">
      <x:c r="A5" s="23" t="str">
        <x:v>Hardest 50</x:v>
      </x:c>
      <x:c r="B5" s="23" t="n">
        <x:v>8</x:v>
      </x:c>
      <x:c r="C5" s="23" t="n">
        <x:v>50</x:v>
      </x:c>
      <x:c r="D5" s="24" t="n">
        <x:v>124.14587613602635</x:v>
      </x:c>
      <x:c r="E5" s="24" t="n">
        <x:v>17.931307165685574</x:v>
      </x:c>
      <x:c r="F5" s="24" t="n">
        <x:v>14.75169758044649</x:v>
      </x:c>
      <x:c r="G5" s="24" t="n">
        <x:v>27.47444471975323</x:v>
      </x:c>
      <x:c r="H5" s="24" t="n">
        <x:v>27.989560999703826</x:v>
      </x:c>
      <x:c r="I5" s="24" t="n">
        <x:v>28.846258573801023</x:v>
      </x:c>
      <x:c r="J5" s="24" t="n">
        <x:v>28.870744107989594</x:v>
      </x:c>
      <x:c r="K5" s="24" t="n">
        <x:f>C5/D5</x:f>
        <x:v>0.40275200076090417</x:v>
      </x:c>
    </x:row>
    <x:row r="6" ht="22.5" customHeight="1">
      <x:c r="A6" s="23" t="str">
        <x:v>Hardest 50</x:v>
      </x:c>
      <x:c r="B6" s="23" t="n">
        <x:v>16</x:v>
      </x:c>
      <x:c r="C6" s="23" t="n">
        <x:v>50</x:v>
      </x:c>
      <x:c r="D6" s="24" t="n">
        <x:v>76.00307325494941</x:v>
      </x:c>
      <x:c r="E6" s="24" t="n">
        <x:v>20.245507987963503</x:v>
      </x:c>
      <x:c r="F6" s="24" t="n">
        <x:v>17.207937215978745</x:v>
      </x:c>
      <x:c r="G6" s="24" t="n">
        <x:v>30.49750305823982</x:v>
      </x:c>
      <x:c r="H6" s="24" t="n">
        <x:v>31.715361928485798</x:v>
      </x:c>
      <x:c r="I6" s="24" t="n">
        <x:v>32.97457363727968</x:v>
      </x:c>
      <x:c r="J6" s="24" t="n">
        <x:v>33.020568578038365</x:v>
      </x:c>
      <x:c r="K6" s="24" t="n">
        <x:f>C6/D6</x:f>
        <x:v>0.6578681342565833</x:v>
      </x:c>
    </x:row>
    <x:row r="7" ht="22.5" customHeight="1">
      <x:c r="A7" s="43" t="str">
        <x:v>Random 100</x:v>
      </x:c>
      <x:c r="B7" s="43" t="n">
        <x:v>1</x:v>
      </x:c>
      <x:c r="C7" s="43" t="n">
        <x:v>100</x:v>
      </x:c>
      <x:c r="D7" s="44" t="n">
        <x:v>339.1767649160465</x:v>
      </x:c>
      <x:c r="E7" s="44" t="n">
        <x:v>3.3912201776204167</x:v>
      </x:c>
      <x:c r="F7" s="44" t="n">
        <x:v>1.9491231919964775</x:v>
      </x:c>
      <x:c r="G7" s="44" t="n">
        <x:v>6.980321664176882</x:v>
      </x:c>
      <x:c r="H7" s="44" t="n">
        <x:v>10.595227593649174</x:v>
      </x:c>
      <x:c r="I7" s="44" t="n">
        <x:v>22.40892382476596</x:v>
      </x:c>
      <x:c r="J7" s="44" t="n">
        <x:v>24.214110495056957</x:v>
      </x:c>
      <x:c r="K7" s="44" t="n">
        <x:f>C7/D7</x:f>
        <x:v>0.2948315166127377</x:v>
      </x:c>
    </x:row>
    <x:row r="8" ht="22.5" customHeight="1">
      <x:c r="A8" s="43" t="str">
        <x:v>Random 100</x:v>
      </x:c>
      <x:c r="B8" s="43" t="n">
        <x:v>2</x:v>
      </x:c>
      <x:c r="C8" s="43" t="n">
        <x:v>100</x:v>
      </x:c>
      <x:c r="D8" s="44" t="n">
        <x:v>187.70124841295183</x:v>
      </x:c>
      <x:c r="E8" s="44" t="n">
        <x:v>3.6729107395501344</x:v>
      </x:c>
      <x:c r="F8" s="44" t="n">
        <x:v>2.1905918805277906</x:v>
      </x:c>
      <x:c r="G8" s="44" t="n">
        <x:v>7.367764869972603</x:v>
      </x:c>
      <x:c r="H8" s="44" t="n">
        <x:v>11.437962386099384</x:v>
      </x:c>
      <x:c r="I8" s="44" t="n">
        <x:v>23.884775217049764</x:v>
      </x:c>
      <x:c r="J8" s="44" t="n">
        <x:v>25.927635177969933</x:v>
      </x:c>
      <x:c r="K8" s="44" t="n">
        <x:f>C8/D8</x:f>
        <x:v>0.5327615071584135</x:v>
      </x:c>
    </x:row>
    <x:row r="9" ht="22.5" customHeight="1">
      <x:c r="A9" s="43" t="str">
        <x:v>Random 100</x:v>
      </x:c>
      <x:c r="B9" s="43" t="n">
        <x:v>4</x:v>
      </x:c>
      <x:c r="C9" s="43" t="n">
        <x:v>100</x:v>
      </x:c>
      <x:c r="D9" s="44" t="n">
        <x:v>108.39874666195828</x:v>
      </x:c>
      <x:c r="E9" s="44" t="n">
        <x:v>3.974306773324497</x:v>
      </x:c>
      <x:c r="F9" s="44" t="n">
        <x:v>2.225040065997746</x:v>
      </x:c>
      <x:c r="G9" s="44" t="n">
        <x:v>8.091284958191684</x:v>
      </x:c>
      <x:c r="H9" s="44" t="n">
        <x:v>13.455026104161515</x:v>
      </x:c>
      <x:c r="I9" s="44" t="n">
        <x:v>26.443342877869735</x:v>
      </x:c>
      <x:c r="J9" s="44" t="n">
        <x:v>27.812006975058466</x:v>
      </x:c>
      <x:c r="K9" s="44" t="n">
        <x:f>C9/D9</x:f>
        <x:v>0.9225198914139682</x:v>
      </x:c>
    </x:row>
    <x:row r="10" ht="22.5" customHeight="1">
      <x:c r="A10" s="43" t="str">
        <x:v>Random 100</x:v>
      </x:c>
      <x:c r="B10" s="43" t="n">
        <x:v>8</x:v>
      </x:c>
      <x:c r="C10" s="43" t="n">
        <x:v>100</x:v>
      </x:c>
      <x:c r="D10" s="44" t="n">
        <x:v>65.03999969095457</x:v>
      </x:c>
      <x:c r="E10" s="44" t="n">
        <x:v>4.504614210495492</x:v>
      </x:c>
      <x:c r="F10" s="44" t="n">
        <x:v>2.6308405274758115</x:v>
      </x:c>
      <x:c r="G10" s="44" t="n">
        <x:v>9.229112586367414</x:v>
      </x:c>
      <x:c r="H10" s="44" t="n">
        <x:v>13.179864990105848</x:v>
      </x:c>
      <x:c r="I10" s="44" t="n">
        <x:v>30.30511511541788</x:v>
      </x:c>
      <x:c r="J10" s="44" t="n">
        <x:v>32.983961905003525</x:v>
      </x:c>
      <x:c r="K10" s="44" t="n">
        <x:f>C10/D10</x:f>
        <x:v>1.5375153824594419</x:v>
      </x:c>
    </x:row>
    <x:row r="11" ht="22.5" customHeight="1">
      <x:c r="A11" s="43" t="str">
        <x:v>Random 100</x:v>
      </x:c>
      <x:c r="B11" s="43" t="n">
        <x:v>16</x:v>
      </x:c>
      <x:c r="C11" s="43" t="n">
        <x:v>100</x:v>
      </x:c>
      <x:c r="D11" s="44" t="n">
        <x:v>42.50619284296408</x:v>
      </x:c>
      <x:c r="E11" s="44" t="n">
        <x:v>5.360810203920119</x:v>
      </x:c>
      <x:c r="F11" s="44" t="n">
        <x:v>3.198256326955743</x:v>
      </x:c>
      <x:c r="G11" s="44" t="n">
        <x:v>10.958076933014675</x:v>
      </x:c>
      <x:c r="H11" s="44" t="n">
        <x:v>14.538992636615871</x:v>
      </x:c>
      <x:c r="I11" s="44" t="n">
        <x:v>30.509000390296602</x:v>
      </x:c>
      <x:c r="J11" s="44" t="n">
        <x:v>37.092466662987135</x:v>
      </x:c>
      <x:c r="K11" s="44" t="n">
        <x:f>C11/D11</x:f>
        <x:v>2.3525983700643915</x:v>
      </x:c>
    </x:row>
    <x:row r="12" ht="22.5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</x:row>
    <x:row r="13" ht="22.5" customHeight="1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</x:row>
    <x:row r="14" ht="22.5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</x:row>
    <x:row r="15" ht="22.5" customHeight="1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04.44000244140625" hidden="0" customWidth="1"/>
  </x:cols>
  <x:sheetData>
    <x:row r="1" ht="24" customHeight="1">
      <x:c r="A1" s="53" t="str">
        <x:v>Item</x:v>
      </x:c>
      <x:c r="B1" s="53" t="str">
        <x:v>Source or explanation</x:v>
      </x:c>
    </x:row>
    <x:row r="2" ht="45" customHeight="1">
      <x:c r="A2" s="55" t="str">
        <x:v>Reconstruction</x:v>
      </x:c>
      <x:c r="B2" s="56" t="str">
        <x:v>The earlier temporary workbook is missing. Historical tables were reconstructed from the three supplied screenshots and saved full-precision vLLM records.</x:v>
      </x:c>
    </x:row>
    <x:row r="3" ht="45" customHeight="1">
      <x:c r="A3" s="57" t="str">
        <x:v>Historical custom data</x:v>
      </x:c>
      <x:c r="B3" s="58" t="str">
        <x:v>Values and displayed rounding reproduce the screenshots. The &gt;P90 B8 P95 is retained as 8.345 s; the saved benchmark value was 8.353625551 s.</x:v>
      </x:c>
    </x:row>
    <x:row r="4" ht="45" customHeight="1">
      <x:c r="A4" s="57" t="str">
        <x:v>Historical cohorts</x:v>
      </x:c>
      <x:c r="B4" s="58" t="str">
        <x:v>Hardest 50: original-B1 tail ranks, shuffled with seed 1. All tables: a 100-table sample from all 665, seed 1, not all 665 measured.</x:v>
      </x:c>
    </x:row>
    <x:row r="5" ht="45" customHeight="1">
      <x:c r="A5" s="57" t="str">
        <x:v>Historical vLLM sources</x:v>
      </x:c>
      <x:c r="B5" s="58" t="str">
        <x:v>table_vllm_closed50_shuffle1_c124_95fb6d8c_20260903; table_vllm_random100_seed1_c124_95fb6d8c_20260903; table_vllm_c8_c16_both_9ed4c364_20260903.</x:v>
      </x:c>
    </x:row>
    <x:row r="6" ht="45" customHeight="1">
      <x:c r="A6" s="57" t="str">
        <x:v>Historical configuration</x:v>
      </x:c>
      <x:c r="B6" s="58" t="str">
        <x:v>vLLM-Ascend 0.23.0rc1, FULL_AND_PIECEWISE. Earlier C1/C2/C4 used max-num-seqs 4; C8/C16 used 16.</x:v>
      </x:c>
    </x:row>
    <x:row r="7" ht="45" customHeight="1">
      <x:c r="A7" s="57" t="str">
        <x:v>Historical output limits</x:v>
      </x:c>
      <x:c r="B7" s="58" t="str">
        <x:v>Hardest 50 had eight context-limit stops per lane; random 100 completed normally. Those historical measurements are preserved, not presented as a new quality validation.</x:v>
      </x:c>
    </x:row>
    <x:row r="8" ht="45" customHeight="1">
      <x:c r="A8" s="57" t="str">
        <x:v>Speedup formulas</x:v>
      </x:c>
      <x:c r="B8" s="58" t="str">
        <x:v>Ratios use the photo-displayed, rounded values for both engines. Mean and P95 = vLLM / custom; QPS = custom / vLLM. Values above 1× favor custom. Full-precision vLLM measurements remain in the data tab.</x:v>
      </x:c>
    </x:row>
    <x:row r="9" ht="71.25" customHeight="1">
      <x:c r="A9" s="57" t="str">
        <x:v>New comparison</x:v>
      </x:c>
      <x:c r="B9" s="58" t="str">
        <x:v>Current sweep: table_optimized_c1_to_c7_9f6e486d_20260906, each lane's measured summary. B2 uses the new reconfirmation (highest P95 of three). B5: table_packed_noevents_b5c5_b0f1cac7_20260906/validation1000_a (higher P95 of two). Same seed-3 sequence. B8/C7 and B8/C8 share a warmed server, with a separate complete-request warmup before each run.</x:v>
      </x:c>
    </x:row>
    <x:row r="10" ht="45" customHeight="1">
      <x:c r="A10" s="59" t="str">
        <x:v>Timing scope</x:v>
      </x:c>
      <x:c r="B10" s="60" t="str">
        <x:v>Queueing, image decoding, CPU preparation, vision/text prefill, decode, control and postprocessing remain in latency. Overlapping work is not subtracted. QPS includes initial filling and final draining.</x:v>
      </x:c>
    </x:row>
    <x:row r="11" ht="45" customHeight="1">
      <x:c r="A11" s="51"/>
      <x:c r="B11" s="51"/>
    </x:row>
    <x:row r="12" ht="48" customHeight="1">
      <x:c r="A12" s="110" t="str">
        <x:v>Poisson results added</x:v>
      </x:c>
      <x:c r="B12" s="110" t="str">
        <x:v>2026-09-07; 36 completed tests: three 10k, thirty 1k screens, three pilots. Existing closed-loop tables above are unchanged.</x:v>
      </x:c>
    </x:row>
    <x:row r="13" ht="48" customHeight="1">
      <x:c r="A13" s="112" t="str">
        <x:v>Source root</x:v>
      </x:c>
      <x:c r="B13" s="112" t="str">
        <x:v>/data1/lukaiv/workspace/repos/paddle_ocr_vl_npu/tmp/09_persistent_page_engine/</x:v>
      </x:c>
    </x:row>
    <x:row r="14" ht="48" customHeight="1">
      <x:c r="A14" s="112" t="str">
        <x:v>Metric sources</x:v>
      </x:c>
      <x:c r="B14" s="112" t="str">
        <x:v>Each run: summary.json plus results.jsonl. Latency uses request_latency_s; peaks use every actual dispatch_offset_s.</x:v>
      </x:c>
    </x:row>
    <x:row r="15" ht="48" customHeight="1">
      <x:c r="A15" s="112" t="str">
        <x:v>Peak definition</x:v>
      </x:c>
      <x:c r="B15" s="112" t="str">
        <x:v>max count of SEND timestamps in [t,t+1), over the complete run. Not fixed wall-clock bins, scheduled timestamps, or RECV rate.</x:v>
      </x:c>
    </x:row>
    <x:row r="16" ht="48" customHeight="1">
      <x:c r="A16" s="112" t="str">
        <x:v>Actual arrival QPS</x:v>
      </x:c>
      <x:c r="B16" s="112" t="str">
        <x:v>Request count / last actual dispatch offset from run start. Completed QPS = request count / run wall time, including drain.</x:v>
      </x:c>
    </x:row>
    <x:row r="17" ht="48" customHeight="1">
      <x:c r="A17" s="112" t="str">
        <x:v>Validation context</x:v>
      </x:c>
      <x:c r="B17" s="112" t="str">
        <x:v>The 10k set contains all 665 tables 15 times plus 25 sampled repeats, shuffled globally. No new inference runs were started for this workbook update.</x:v>
      </x:c>
    </x:row>
    <x:row r="18" ht="48" customHeight="1">
      <x:c r="A18" s="112" t="str">
        <x:v>Latency comparison row 4: B4, target 3, n=10000</x:v>
      </x:c>
      <x:c r="B18" s="112" t="str">
        <x:v>table_poisson_b4_all10000_qps3_global_20260907/measured; peak 13 SENDs in [1061.820289, 1062.820289) seconds from start.</x:v>
      </x:c>
    </x:row>
    <x:row r="19" ht="48" customHeight="1">
      <x:c r="A19" s="112" t="str">
        <x:v>Latency comparison row 5: B4, target 4, n=10000</x:v>
      </x:c>
      <x:c r="B19" s="112" t="str">
        <x:v>table_poisson_b4_all10000_qps4_global_59259548_20260906/measured; peak 15 SENDs in [796.273450, 797.273450) seconds from start.</x:v>
      </x:c>
    </x:row>
    <x:row r="20" ht="48" customHeight="1">
      <x:c r="A20" s="112" t="str">
        <x:v>Latency comparison row 6: B8, target 6, n=10000</x:v>
      </x:c>
      <x:c r="B20" s="112" t="str">
        <x:v>table_poisson_b8_all10000_qps6_global_b4de9b2c_20260906/measured; peak 18 SENDs in [530.652255, 531.652255) seconds from start.</x:v>
      </x:c>
    </x:row>
    <x:row r="21" ht="48" customHeight="1">
      <x:c r="A21" s="112" t="str">
        <x:v>Latency comparison row 14: B1, target 1, n=1000</x:v>
      </x:c>
      <x:c r="B21" s="112" t="str">
        <x:v>table_poisson_frontier_screen1000_be691de1_20260907/b1/qps1/measured; peak 6 SENDs in [682.988468, 683.988468) seconds from start.</x:v>
      </x:c>
    </x:row>
    <x:row r="22" ht="48" customHeight="1">
      <x:c r="A22" s="112" t="str">
        <x:v>Latency comparison row 15: B1, target 1.5, n=1000</x:v>
      </x:c>
      <x:c r="B22" s="112" t="str">
        <x:v>table_poisson_frontier_screen1000_be691de1_20260907/b1/qps1.5/measured; peak 7 SENDs in [212.607144, 213.607144) seconds from start.</x:v>
      </x:c>
    </x:row>
    <x:row r="23" ht="48" customHeight="1">
      <x:c r="A23" s="112" t="str">
        <x:v>Latency comparison row 16: B2, target 1, n=1000</x:v>
      </x:c>
      <x:c r="B23" s="112" t="str">
        <x:v>table_poisson_frontier_screen1000_be691de1_20260907/b2/qps1/measured; peak 6 SENDs in [682.987997, 683.987997) seconds from start.</x:v>
      </x:c>
    </x:row>
    <x:row r="24" ht="48" customHeight="1">
      <x:c r="A24" s="112" t="str">
        <x:v>Latency comparison row 17: B2, target 2, n=1000</x:v>
      </x:c>
      <x:c r="B24" s="112" t="str">
        <x:v>table_poisson_frontier_screen1000_be691de1_20260907/b2/qps2/measured; peak 8 SENDs in [159.315347, 160.315347) seconds from start.</x:v>
      </x:c>
    </x:row>
    <x:row r="25" ht="48" customHeight="1">
      <x:c r="A25" s="112" t="str">
        <x:v>Latency comparison row 18: B2, target 2.5, n=1000</x:v>
      </x:c>
      <x:c r="B25" s="112" t="str">
        <x:v>table_poisson_frontier_screen1000_be691de1_20260907/b2/qps2.5/measured; peak 8 SENDs in [9.540423, 10.540423) seconds from start.</x:v>
      </x:c>
    </x:row>
    <x:row r="26" ht="48" customHeight="1">
      <x:c r="A26" s="112" t="str">
        <x:v>Latency comparison row 19: B2, target 3, n=1000</x:v>
      </x:c>
      <x:c r="B26" s="112" t="str">
        <x:v>table_poisson_frontier_screen1000_be691de1_20260907/b2/qps3/measured; peak 10 SENDs in [106.209714, 107.209714) seconds from start.</x:v>
      </x:c>
    </x:row>
    <x:row r="27" ht="48" customHeight="1">
      <x:c r="A27" s="112" t="str">
        <x:v>Latency comparison row 20: B3, target 2, n=1000</x:v>
      </x:c>
      <x:c r="B27" s="112" t="str">
        <x:v>table_poisson_frontier_screen1000_be691de1_20260907/b3/qps2/measured; peak 8 SENDs in [159.315240, 160.315240) seconds from start.</x:v>
      </x:c>
    </x:row>
    <x:row r="28" ht="48" customHeight="1">
      <x:c r="A28" s="112" t="str">
        <x:v>Latency comparison row 21: B3, target 3, n=1000</x:v>
      </x:c>
      <x:c r="B28" s="112" t="str">
        <x:v>table_poisson_frontier_screen1000_be691de1_20260907/b3/qps3/measured; peak 10 SENDs in [106.210352, 107.210352) seconds from start.</x:v>
      </x:c>
    </x:row>
    <x:row r="29" ht="48" customHeight="1">
      <x:c r="A29" s="112" t="str">
        <x:v>Latency comparison row 22: B3, target 3.5, n=1000</x:v>
      </x:c>
      <x:c r="B29" s="112" t="str">
        <x:v>table_poisson_frontier_screen1000_be691de1_20260907/b3/qps3.5/measured; peak 11 SENDs in [6.814862, 7.814862) seconds from start.</x:v>
      </x:c>
    </x:row>
    <x:row r="30" ht="48" customHeight="1">
      <x:c r="A30" s="112" t="str">
        <x:v>Latency comparison row 23: B4, target 2, n=1000</x:v>
      </x:c>
      <x:c r="B30" s="112" t="str">
        <x:v>table_poisson_frontier_screen1000_be691de1_20260907/b4/qps2/measured; peak 8 SENDs in [159.315382, 160.315382) seconds from start.</x:v>
      </x:c>
    </x:row>
    <x:row r="31" ht="48" customHeight="1">
      <x:c r="A31" s="112" t="str">
        <x:v>Latency comparison row 24: B4, target 3, n=1000</x:v>
      </x:c>
      <x:c r="B31" s="112" t="str">
        <x:v>table_poisson_frontier_screen1000_be691de1_20260907/b4/qps3/measured; peak 10 SENDs in [106.209734, 107.209734) seconds from start.</x:v>
      </x:c>
    </x:row>
    <x:row r="32" ht="48" customHeight="1">
      <x:c r="A32" s="112" t="str">
        <x:v>Latency comparison row 25: B4, target 4, n=1000</x:v>
      </x:c>
      <x:c r="B32" s="112" t="str">
        <x:v>table_poisson_frontier_screen1000_be691de1_20260907/b4/qps4/measured; peak 12 SENDs in [5.825493, 6.825493) seconds from start.</x:v>
      </x:c>
    </x:row>
    <x:row r="33" ht="48" customHeight="1">
      <x:c r="A33" s="112" t="str">
        <x:v>Latency comparison row 26: B4, target 4.5, n=1000</x:v>
      </x:c>
      <x:c r="B33" s="112" t="str">
        <x:v>table_poisson_frontier_screen1000_be691de1_20260907/b4/qps4.5/measured; peak 13 SENDs in [5.124347, 6.124347) seconds from start.</x:v>
      </x:c>
    </x:row>
    <x:row r="34" ht="48" customHeight="1">
      <x:c r="A34" s="112" t="str">
        <x:v>Latency comparison row 27: B5, target 3, n=1000</x:v>
      </x:c>
      <x:c r="B34" s="112" t="str">
        <x:v>table_poisson_frontier_screen1000_be691de1_20260907/b5/qps3/measured; peak 10 SENDs in [106.210424, 107.210424) seconds from start.</x:v>
      </x:c>
    </x:row>
    <x:row r="35" ht="48" customHeight="1">
      <x:c r="A35" s="112" t="str">
        <x:v>Latency comparison row 28: B5, target 4, n=1000</x:v>
      </x:c>
      <x:c r="B35" s="112" t="str">
        <x:v>table_poisson_frontier_screen1000_be691de1_20260907/b5/qps4/measured; peak 12 SENDs in [5.825799, 6.825799) seconds from start.</x:v>
      </x:c>
    </x:row>
    <x:row r="36" ht="48" customHeight="1">
      <x:c r="A36" s="112" t="str">
        <x:v>Latency comparison row 29: B5, target 5, n=1000</x:v>
      </x:c>
      <x:c r="B36" s="112" t="str">
        <x:v>table_poisson_frontier_screen1000_be691de1_20260907/b5/qps5/measured; peak 14 SENDs in [4.516500, 5.516500) seconds from start.</x:v>
      </x:c>
    </x:row>
    <x:row r="37" ht="48" customHeight="1">
      <x:c r="A37" s="112" t="str">
        <x:v>Latency comparison row 30: B6, target 4, n=1000</x:v>
      </x:c>
      <x:c r="B37" s="112" t="str">
        <x:v>table_poisson_frontier_screen1000_be691de1_20260907/b6/qps4/measured; peak 12 SENDs in [5.826421, 6.826421) seconds from start.</x:v>
      </x:c>
    </x:row>
    <x:row r="38" ht="48" customHeight="1">
      <x:c r="A38" s="112" t="str">
        <x:v>Latency comparison row 31: B6, target 5, n=1000</x:v>
      </x:c>
      <x:c r="B38" s="112" t="str">
        <x:v>table_poisson_frontier_screen1000_be691de1_20260907/b6/qps5/measured; peak 14 SENDs in [4.516668, 5.516668) seconds from start.</x:v>
      </x:c>
    </x:row>
    <x:row r="39" ht="48" customHeight="1">
      <x:c r="A39" s="112" t="str">
        <x:v>Latency comparison row 32: B6, target 5.5, n=1000</x:v>
      </x:c>
      <x:c r="B39" s="112" t="str">
        <x:v>table_poisson_frontier_screen1000_be691de1_20260907/b6/qps5.5/measured; peak 14 SENDs in [4.106227, 5.106227) seconds from start.</x:v>
      </x:c>
    </x:row>
    <x:row r="40" ht="48" customHeight="1">
      <x:c r="A40" s="112" t="str">
        <x:v>Latency comparison row 33: B7, target 5, n=1000</x:v>
      </x:c>
      <x:c r="B40" s="112" t="str">
        <x:v>table_poisson_frontier_screen1000_be691de1_20260907/b7/qps5/measured; peak 14 SENDs in [4.517064, 5.517064) seconds from start.</x:v>
      </x:c>
    </x:row>
    <x:row r="41" ht="48" customHeight="1">
      <x:c r="A41" s="112" t="str">
        <x:v>Latency comparison row 34: B7, target 6, n=1000</x:v>
      </x:c>
      <x:c r="B41" s="112" t="str">
        <x:v>table_poisson_frontier_screen1000_be691de1_20260907/b7/qps6/measured; peak 15 SENDs in [20.031687, 21.031687) seconds from start.</x:v>
      </x:c>
    </x:row>
    <x:row r="42" ht="48" customHeight="1">
      <x:c r="A42" s="112" t="str">
        <x:v>Latency comparison row 35: B8, target 3, n=1000</x:v>
      </x:c>
      <x:c r="B42" s="112" t="str">
        <x:v>table_poisson_frontier_screen1000_be691de1_20260907/b8/qps3/measured; peak 10 SENDs in [106.210870, 107.210870) seconds from start.</x:v>
      </x:c>
    </x:row>
    <x:row r="43" ht="48" customHeight="1">
      <x:c r="A43" s="112" t="str">
        <x:v>Latency comparison row 36: B8, target 4, n=1000</x:v>
      </x:c>
      <x:c r="B43" s="112" t="str">
        <x:v>table_poisson_frontier_screen1000_be691de1_20260907/b8/qps4/measured; peak 12 SENDs in [5.825904, 6.825904) seconds from start.</x:v>
      </x:c>
    </x:row>
    <x:row r="44" ht="48" customHeight="1">
      <x:c r="A44" s="112" t="str">
        <x:v>Latency comparison row 37: B8, target 5, n=1000</x:v>
      </x:c>
      <x:c r="B44" s="112" t="str">
        <x:v>table_poisson_frontier_screen1000_be691de1_20260907/b8/qps5/measured; peak 14 SENDs in [4.516690, 5.516690) seconds from start.</x:v>
      </x:c>
    </x:row>
    <x:row r="45" ht="48" customHeight="1">
      <x:c r="A45" s="112" t="str">
        <x:v>Latency comparison row 38: B8, target 6, n=1000</x:v>
      </x:c>
      <x:c r="B45" s="112" t="str">
        <x:v>table_poisson_frontier_screen1000_be691de1_20260907/b8/qps6/measured; peak 15 SENDs in [20.031530, 21.031530) seconds from start.</x:v>
      </x:c>
    </x:row>
    <x:row r="46" ht="48" customHeight="1">
      <x:c r="A46" s="112" t="str">
        <x:v>Latency comparison row 39: B8, target 6.5, n=1000</x:v>
      </x:c>
      <x:c r="B46" s="112" t="str">
        <x:v>table_poisson_frontier_screen1000_be691de1_20260907/b8/qps6.5/measured; peak 16 SENDs in [19.110287, 20.110287) seconds from start.</x:v>
      </x:c>
    </x:row>
    <x:row r="47" ht="48" customHeight="1">
      <x:c r="A47" s="112" t="str">
        <x:v>Latency comparison row 40: B16, target 4, n=1000</x:v>
      </x:c>
      <x:c r="B47" s="112" t="str">
        <x:v>table_poisson_frontier_screen1000_be691de1_20260907/b16/qps4/measured; peak 12 SENDs in [5.827252, 6.827252) seconds from start.</x:v>
      </x:c>
    </x:row>
    <x:row r="48" ht="48" customHeight="1">
      <x:c r="A48" s="112" t="str">
        <x:v>Latency comparison row 41: B16, target 6, n=1000</x:v>
      </x:c>
      <x:c r="B48" s="112" t="str">
        <x:v>table_poisson_frontier_screen1000_be691de1_20260907/b16/qps6/measured; peak 15 SENDs in [20.031664, 21.031664) seconds from start.</x:v>
      </x:c>
    </x:row>
    <x:row r="49" ht="48" customHeight="1">
      <x:c r="A49" s="112" t="str">
        <x:v>Latency comparison row 42: B16, target 7, n=1000</x:v>
      </x:c>
      <x:c r="B49" s="112" t="str">
        <x:v>table_poisson_frontier_screen1000_be691de1_20260907/b16/qps7/measured; peak 16 SENDs in [17.331233, 18.331233) seconds from start.</x:v>
      </x:c>
    </x:row>
    <x:row r="50" ht="48" customHeight="1">
      <x:c r="A50" s="112" t="str">
        <x:v>Latency comparison row 43: B16, target 8, n=1000</x:v>
      </x:c>
      <x:c r="B50" s="112" t="str">
        <x:v>table_poisson_frontier_screen1000_be691de1_20260907/b16/qps8/measured; peak 19 SENDs in [15.163787, 16.163787) seconds from start.</x:v>
      </x:c>
    </x:row>
    <x:row r="51" ht="48" customHeight="1">
      <x:c r="A51" s="112" t="str">
        <x:v>Latency comparison row 50: B8, target 2, n=50</x:v>
      </x:c>
      <x:c r="B51" s="112" t="str">
        <x:v>table_poisson_b8_all50_qps2_14aa7a88_20260906/measured; peak 7 SENDs in [12.695727, 13.695727) seconds from start.</x:v>
      </x:c>
    </x:row>
    <x:row r="52" ht="48" customHeight="1">
      <x:c r="A52" s="112" t="str">
        <x:v>Latency comparison row 51: B8, target 5, n=100</x:v>
      </x:c>
      <x:c r="B52" s="112" t="str">
        <x:v>table_poisson_b8_all100_qps5_14aa7a88_20260906/measured; peak 14 SENDs in [4.516374, 5.516374) seconds from start.</x:v>
      </x:c>
    </x:row>
    <x:row r="53" ht="48" customHeight="1">
      <x:c r="A53" s="112" t="str">
        <x:v>Latency comparison row 52: B8, target 6, n=1000</x:v>
      </x:c>
      <x:c r="B53" s="112" t="str">
        <x:v>table_poisson_b8_all1000_qps6_14aa7a88_20260906/measured; peak 15 SENDs in [20.031892, 21.031892) seconds from start.</x:v>
      </x:c>
    </x:row>
  </x:sheetData>
  <x:pageMargins left="0.7" right="0.7" top="0.75" bottom="0.75" header="0.3" footer="0.3"/>
</x:worksheet>
</file>